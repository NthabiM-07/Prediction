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6e0a668e06e192c/Desktop/2025/INGB413/GA/"/>
    </mc:Choice>
  </mc:AlternateContent>
  <xr:revisionPtr revIDLastSave="1026" documentId="8_{4B087998-032E-46F9-BA41-4122C0AEE9B2}" xr6:coauthVersionLast="47" xr6:coauthVersionMax="47" xr10:uidLastSave="{6A79E7A2-EA2D-4DF9-9D07-CFD34DB8577A}"/>
  <bookViews>
    <workbookView xWindow="28680" yWindow="-120" windowWidth="29040" windowHeight="15720" xr2:uid="{8EE03F6A-8941-4085-8D2C-C9BD32095DA9}"/>
  </bookViews>
  <sheets>
    <sheet name="Process 1" sheetId="1" r:id="rId1"/>
    <sheet name="Analysis P1" sheetId="3" r:id="rId2"/>
    <sheet name="Process 2" sheetId="2" r:id="rId3"/>
    <sheet name="Analysis P2" sheetId="4" r:id="rId4"/>
    <sheet name="Hypothesis Test" sheetId="5" r:id="rId5"/>
    <sheet name="Sheet3" sheetId="7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2" i="4" l="1"/>
  <c r="M4" i="4" s="1"/>
  <c r="M23" i="1"/>
  <c r="N23" i="1"/>
  <c r="O23" i="1"/>
  <c r="P23" i="1"/>
  <c r="L23" i="1"/>
  <c r="B32" i="4"/>
  <c r="B33" i="4" s="1"/>
  <c r="B6" i="5"/>
  <c r="D4" i="5"/>
  <c r="D2" i="5"/>
  <c r="D1" i="5"/>
  <c r="T45" i="1"/>
  <c r="N6" i="3"/>
  <c r="K4" i="3"/>
  <c r="K5" i="3"/>
  <c r="K6" i="3"/>
  <c r="K7" i="3"/>
  <c r="K8" i="3"/>
  <c r="K9" i="3"/>
  <c r="K10" i="3"/>
  <c r="K11" i="3"/>
  <c r="K12" i="3"/>
  <c r="K13" i="3"/>
  <c r="K14" i="3"/>
  <c r="K15" i="3"/>
  <c r="K16" i="3"/>
  <c r="K17" i="3"/>
  <c r="K18" i="3"/>
  <c r="K19" i="3"/>
  <c r="K20" i="3"/>
  <c r="K21" i="3"/>
  <c r="K22" i="3"/>
  <c r="K23" i="3"/>
  <c r="K24" i="3"/>
  <c r="K25" i="3"/>
  <c r="K26" i="3"/>
  <c r="K27" i="3"/>
  <c r="K28" i="3"/>
  <c r="K29" i="3"/>
  <c r="K30" i="3"/>
  <c r="K31" i="3"/>
  <c r="K32" i="3"/>
  <c r="K33" i="3"/>
  <c r="K34" i="3"/>
  <c r="K35" i="3"/>
  <c r="K36" i="3"/>
  <c r="K37" i="3"/>
  <c r="K38" i="3"/>
  <c r="K39" i="3"/>
  <c r="K40" i="3"/>
  <c r="K41" i="3"/>
  <c r="K42" i="3"/>
  <c r="K43" i="3"/>
  <c r="K44" i="3"/>
  <c r="K3" i="3"/>
  <c r="J4" i="3"/>
  <c r="J5" i="3"/>
  <c r="J6" i="3"/>
  <c r="J7" i="3"/>
  <c r="J8" i="3"/>
  <c r="J9" i="3"/>
  <c r="J10" i="3"/>
  <c r="J11" i="3"/>
  <c r="J12" i="3"/>
  <c r="J13" i="3"/>
  <c r="J14" i="3"/>
  <c r="J15" i="3"/>
  <c r="J16" i="3"/>
  <c r="J17" i="3"/>
  <c r="J18" i="3"/>
  <c r="J19" i="3"/>
  <c r="J20" i="3"/>
  <c r="J21" i="3"/>
  <c r="J22" i="3"/>
  <c r="J23" i="3"/>
  <c r="J24" i="3"/>
  <c r="J25" i="3"/>
  <c r="J26" i="3"/>
  <c r="J27" i="3"/>
  <c r="J28" i="3"/>
  <c r="J29" i="3"/>
  <c r="J30" i="3"/>
  <c r="J31" i="3"/>
  <c r="J32" i="3"/>
  <c r="J33" i="3"/>
  <c r="J34" i="3"/>
  <c r="J35" i="3"/>
  <c r="J36" i="3"/>
  <c r="J37" i="3"/>
  <c r="J38" i="3"/>
  <c r="J39" i="3"/>
  <c r="J40" i="3"/>
  <c r="J41" i="3"/>
  <c r="J42" i="3"/>
  <c r="J43" i="3"/>
  <c r="J44" i="3"/>
  <c r="J3" i="3"/>
  <c r="N11" i="3"/>
  <c r="Y4" i="3"/>
  <c r="Y5" i="3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35" i="3"/>
  <c r="Y36" i="3"/>
  <c r="Y37" i="3"/>
  <c r="Y38" i="3"/>
  <c r="Y39" i="3"/>
  <c r="Y40" i="3"/>
  <c r="Y41" i="3"/>
  <c r="Y42" i="3"/>
  <c r="Y43" i="3"/>
  <c r="Y44" i="3"/>
  <c r="Y3" i="3"/>
  <c r="W4" i="3"/>
  <c r="W5" i="3"/>
  <c r="W6" i="3"/>
  <c r="W7" i="3"/>
  <c r="W8" i="3"/>
  <c r="W9" i="3"/>
  <c r="W10" i="3"/>
  <c r="W11" i="3"/>
  <c r="W12" i="3"/>
  <c r="W13" i="3"/>
  <c r="W14" i="3"/>
  <c r="W15" i="3"/>
  <c r="W16" i="3"/>
  <c r="W17" i="3"/>
  <c r="W18" i="3"/>
  <c r="W19" i="3"/>
  <c r="W20" i="3"/>
  <c r="W21" i="3"/>
  <c r="W22" i="3"/>
  <c r="W23" i="3"/>
  <c r="W24" i="3"/>
  <c r="W25" i="3"/>
  <c r="W26" i="3"/>
  <c r="W27" i="3"/>
  <c r="W28" i="3"/>
  <c r="W29" i="3"/>
  <c r="W30" i="3"/>
  <c r="W31" i="3"/>
  <c r="W32" i="3"/>
  <c r="W33" i="3"/>
  <c r="W34" i="3"/>
  <c r="W35" i="3"/>
  <c r="W36" i="3"/>
  <c r="W37" i="3"/>
  <c r="W38" i="3"/>
  <c r="W39" i="3"/>
  <c r="W40" i="3"/>
  <c r="W41" i="3"/>
  <c r="W42" i="3"/>
  <c r="W43" i="3"/>
  <c r="W44" i="3"/>
  <c r="W3" i="3"/>
  <c r="L5" i="4" l="1"/>
  <c r="M6" i="4"/>
  <c r="M8" i="4"/>
  <c r="C30" i="4"/>
  <c r="M2" i="4"/>
  <c r="L3" i="4"/>
  <c r="D31" i="4" s="1"/>
  <c r="L4" i="4"/>
  <c r="O2" i="4"/>
  <c r="L6" i="4"/>
  <c r="L7" i="4"/>
  <c r="L8" i="4"/>
  <c r="C31" i="4"/>
  <c r="C2" i="4"/>
  <c r="C27" i="4"/>
  <c r="C24" i="4"/>
  <c r="C19" i="4"/>
  <c r="C16" i="4"/>
  <c r="C11" i="4"/>
  <c r="C8" i="4"/>
  <c r="C3" i="4"/>
  <c r="C26" i="4"/>
  <c r="C18" i="4"/>
  <c r="C10" i="4"/>
  <c r="C25" i="4"/>
  <c r="C17" i="4"/>
  <c r="C9" i="4"/>
  <c r="C14" i="4"/>
  <c r="C6" i="4"/>
  <c r="C15" i="4"/>
  <c r="C22" i="4"/>
  <c r="C29" i="4"/>
  <c r="C21" i="4"/>
  <c r="C13" i="4"/>
  <c r="C5" i="4"/>
  <c r="C23" i="4"/>
  <c r="C7" i="4"/>
  <c r="C28" i="4"/>
  <c r="C20" i="4"/>
  <c r="C12" i="4"/>
  <c r="C4" i="4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32" i="3"/>
  <c r="I33" i="3"/>
  <c r="I34" i="3"/>
  <c r="I35" i="3"/>
  <c r="I36" i="3"/>
  <c r="I37" i="3"/>
  <c r="I38" i="3"/>
  <c r="I39" i="3"/>
  <c r="I40" i="3"/>
  <c r="I41" i="3"/>
  <c r="I42" i="3"/>
  <c r="I43" i="3"/>
  <c r="I44" i="3"/>
  <c r="I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32" i="3"/>
  <c r="G33" i="3"/>
  <c r="G34" i="3"/>
  <c r="G35" i="3"/>
  <c r="G36" i="3"/>
  <c r="G37" i="3"/>
  <c r="G38" i="3"/>
  <c r="G39" i="3"/>
  <c r="G40" i="3"/>
  <c r="G41" i="3"/>
  <c r="G42" i="3"/>
  <c r="G43" i="3"/>
  <c r="G44" i="3"/>
  <c r="G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D33" i="3"/>
  <c r="D34" i="3"/>
  <c r="D35" i="3"/>
  <c r="D36" i="3"/>
  <c r="D37" i="3"/>
  <c r="D38" i="3"/>
  <c r="D39" i="3"/>
  <c r="D40" i="3"/>
  <c r="D41" i="3"/>
  <c r="D42" i="3"/>
  <c r="D43" i="3"/>
  <c r="D44" i="3"/>
  <c r="D3" i="3"/>
  <c r="M11" i="1"/>
  <c r="L9" i="1"/>
  <c r="M9" i="1" s="1"/>
  <c r="M10" i="1"/>
  <c r="H30" i="2"/>
  <c r="B30" i="2"/>
  <c r="C30" i="2"/>
  <c r="E30" i="2"/>
  <c r="F30" i="2"/>
  <c r="G30" i="2"/>
  <c r="D30" i="2"/>
  <c r="C45" i="1"/>
  <c r="D45" i="1"/>
  <c r="E45" i="1"/>
  <c r="F45" i="1"/>
  <c r="G45" i="1"/>
  <c r="H45" i="1"/>
  <c r="B45" i="1"/>
  <c r="C44" i="1"/>
  <c r="D44" i="1"/>
  <c r="E44" i="1"/>
  <c r="F44" i="1"/>
  <c r="G44" i="1"/>
  <c r="H44" i="1"/>
  <c r="B44" i="1"/>
  <c r="D2" i="4" l="1"/>
  <c r="D14" i="4"/>
  <c r="D19" i="4"/>
  <c r="D8" i="4"/>
  <c r="D11" i="4"/>
  <c r="D13" i="4"/>
  <c r="D9" i="4"/>
  <c r="D24" i="4"/>
  <c r="D3" i="4"/>
  <c r="D16" i="4"/>
  <c r="D28" i="4"/>
  <c r="D17" i="4"/>
  <c r="D5" i="4"/>
  <c r="D20" i="4"/>
  <c r="D26" i="4"/>
  <c r="D23" i="4"/>
  <c r="D12" i="4"/>
  <c r="D10" i="4"/>
  <c r="D15" i="4"/>
  <c r="D29" i="4"/>
  <c r="D7" i="4"/>
  <c r="D25" i="4"/>
  <c r="D4" i="4"/>
  <c r="D6" i="4"/>
  <c r="D22" i="4"/>
  <c r="D27" i="4"/>
  <c r="D18" i="4"/>
  <c r="D30" i="4"/>
  <c r="D21" i="4"/>
  <c r="G31" i="4"/>
  <c r="G30" i="4"/>
  <c r="F31" i="4"/>
  <c r="F30" i="4"/>
  <c r="I31" i="4"/>
  <c r="I30" i="4"/>
  <c r="E30" i="4"/>
  <c r="E31" i="4"/>
  <c r="H30" i="4"/>
  <c r="H31" i="4"/>
  <c r="I6" i="4"/>
  <c r="I14" i="4"/>
  <c r="I22" i="4"/>
  <c r="I2" i="4"/>
  <c r="I16" i="4"/>
  <c r="I7" i="4"/>
  <c r="I15" i="4"/>
  <c r="I23" i="4"/>
  <c r="I8" i="4"/>
  <c r="I9" i="4"/>
  <c r="I17" i="4"/>
  <c r="I25" i="4"/>
  <c r="I18" i="4"/>
  <c r="I26" i="4"/>
  <c r="I10" i="4"/>
  <c r="I3" i="4"/>
  <c r="I11" i="4"/>
  <c r="I19" i="4"/>
  <c r="I27" i="4"/>
  <c r="I4" i="4"/>
  <c r="I12" i="4"/>
  <c r="I20" i="4"/>
  <c r="I28" i="4"/>
  <c r="I24" i="4"/>
  <c r="I5" i="4"/>
  <c r="I13" i="4"/>
  <c r="I21" i="4"/>
  <c r="I29" i="4"/>
  <c r="H10" i="4"/>
  <c r="H18" i="4"/>
  <c r="H26" i="4"/>
  <c r="H27" i="4"/>
  <c r="H12" i="4"/>
  <c r="H22" i="4"/>
  <c r="H3" i="4"/>
  <c r="H11" i="4"/>
  <c r="H19" i="4"/>
  <c r="H4" i="4"/>
  <c r="H28" i="4"/>
  <c r="H5" i="4"/>
  <c r="H13" i="4"/>
  <c r="H21" i="4"/>
  <c r="H29" i="4"/>
  <c r="H6" i="4"/>
  <c r="H7" i="4"/>
  <c r="H15" i="4"/>
  <c r="H23" i="4"/>
  <c r="H14" i="4"/>
  <c r="H8" i="4"/>
  <c r="H16" i="4"/>
  <c r="H24" i="4"/>
  <c r="H20" i="4"/>
  <c r="H2" i="4"/>
  <c r="H9" i="4"/>
  <c r="H17" i="4"/>
  <c r="H25" i="4"/>
  <c r="D45" i="3"/>
  <c r="S3" i="3" s="1"/>
  <c r="E5" i="4"/>
  <c r="E13" i="4"/>
  <c r="E21" i="4"/>
  <c r="E29" i="4"/>
  <c r="E8" i="4"/>
  <c r="E16" i="4"/>
  <c r="E2" i="4"/>
  <c r="E6" i="4"/>
  <c r="E14" i="4"/>
  <c r="E22" i="4"/>
  <c r="E24" i="4"/>
  <c r="E28" i="4"/>
  <c r="E7" i="4"/>
  <c r="E15" i="4"/>
  <c r="E23" i="4"/>
  <c r="E9" i="4"/>
  <c r="E17" i="4"/>
  <c r="E25" i="4"/>
  <c r="E10" i="4"/>
  <c r="E18" i="4"/>
  <c r="E26" i="4"/>
  <c r="E3" i="4"/>
  <c r="E11" i="4"/>
  <c r="E19" i="4"/>
  <c r="E27" i="4"/>
  <c r="E4" i="4"/>
  <c r="E12" i="4"/>
  <c r="E20" i="4"/>
  <c r="G3" i="4"/>
  <c r="G11" i="4"/>
  <c r="G19" i="4"/>
  <c r="G27" i="4"/>
  <c r="G14" i="4"/>
  <c r="G4" i="4"/>
  <c r="G12" i="4"/>
  <c r="G20" i="4"/>
  <c r="G28" i="4"/>
  <c r="G22" i="4"/>
  <c r="G5" i="4"/>
  <c r="G13" i="4"/>
  <c r="G21" i="4"/>
  <c r="G29" i="4"/>
  <c r="G6" i="4"/>
  <c r="G7" i="4"/>
  <c r="G15" i="4"/>
  <c r="G23" i="4"/>
  <c r="G8" i="4"/>
  <c r="G16" i="4"/>
  <c r="G24" i="4"/>
  <c r="G2" i="4"/>
  <c r="G9" i="4"/>
  <c r="G17" i="4"/>
  <c r="G25" i="4"/>
  <c r="G10" i="4"/>
  <c r="G18" i="4"/>
  <c r="G26" i="4"/>
  <c r="F5" i="4"/>
  <c r="F13" i="4"/>
  <c r="F21" i="4"/>
  <c r="F29" i="4"/>
  <c r="F8" i="4"/>
  <c r="F16" i="4"/>
  <c r="F24" i="4"/>
  <c r="F2" i="4"/>
  <c r="F6" i="4"/>
  <c r="F14" i="4"/>
  <c r="F22" i="4"/>
  <c r="F7" i="4"/>
  <c r="F15" i="4"/>
  <c r="F23" i="4"/>
  <c r="F9" i="4"/>
  <c r="F17" i="4"/>
  <c r="F25" i="4"/>
  <c r="F10" i="4"/>
  <c r="F18" i="4"/>
  <c r="F26" i="4"/>
  <c r="F3" i="4"/>
  <c r="F11" i="4"/>
  <c r="F19" i="4"/>
  <c r="F27" i="4"/>
  <c r="F4" i="4"/>
  <c r="F12" i="4"/>
  <c r="F20" i="4"/>
  <c r="F28" i="4"/>
  <c r="E35" i="3"/>
  <c r="E5" i="3"/>
  <c r="E22" i="3"/>
  <c r="E15" i="3"/>
  <c r="E16" i="3"/>
  <c r="E17" i="3"/>
  <c r="I30" i="2"/>
  <c r="E8" i="3" l="1"/>
  <c r="E7" i="3"/>
  <c r="E14" i="3"/>
  <c r="E44" i="3"/>
  <c r="E27" i="3"/>
  <c r="E6" i="3"/>
  <c r="E10" i="3"/>
  <c r="N5" i="3"/>
  <c r="F4" i="3" s="1"/>
  <c r="E33" i="3"/>
  <c r="E18" i="3"/>
  <c r="E37" i="3"/>
  <c r="E20" i="3"/>
  <c r="E42" i="3"/>
  <c r="E3" i="3"/>
  <c r="E41" i="3"/>
  <c r="E12" i="3"/>
  <c r="E9" i="3"/>
  <c r="E36" i="3"/>
  <c r="E25" i="3"/>
  <c r="E28" i="3"/>
  <c r="E40" i="3"/>
  <c r="E32" i="3"/>
  <c r="E4" i="3"/>
  <c r="S2" i="3"/>
  <c r="U12" i="3" s="1"/>
  <c r="E34" i="3"/>
  <c r="E19" i="3"/>
  <c r="E26" i="3"/>
  <c r="E11" i="3"/>
  <c r="E39" i="3"/>
  <c r="E29" i="3"/>
  <c r="E31" i="3"/>
  <c r="E38" i="3"/>
  <c r="E21" i="3"/>
  <c r="E24" i="3"/>
  <c r="E23" i="3"/>
  <c r="E30" i="3"/>
  <c r="E13" i="3"/>
  <c r="E43" i="3"/>
  <c r="U25" i="3"/>
  <c r="N9" i="3" l="1"/>
  <c r="U30" i="3"/>
  <c r="F22" i="3"/>
  <c r="F3" i="3"/>
  <c r="N10" i="3"/>
  <c r="U41" i="3"/>
  <c r="U17" i="3"/>
  <c r="U39" i="3"/>
  <c r="U22" i="3"/>
  <c r="U5" i="3"/>
  <c r="F21" i="3"/>
  <c r="F11" i="3"/>
  <c r="U35" i="3"/>
  <c r="F40" i="3"/>
  <c r="F31" i="3"/>
  <c r="F14" i="3"/>
  <c r="F36" i="3"/>
  <c r="U9" i="3"/>
  <c r="U18" i="3"/>
  <c r="S5" i="3"/>
  <c r="U31" i="3"/>
  <c r="U14" i="3"/>
  <c r="U44" i="3"/>
  <c r="F44" i="3"/>
  <c r="U4" i="3"/>
  <c r="F30" i="3"/>
  <c r="U13" i="3"/>
  <c r="F19" i="3"/>
  <c r="S4" i="3"/>
  <c r="V23" i="3" s="1"/>
  <c r="U40" i="3"/>
  <c r="U23" i="3"/>
  <c r="U6" i="3"/>
  <c r="U36" i="3"/>
  <c r="F43" i="3"/>
  <c r="U21" i="3"/>
  <c r="F9" i="3"/>
  <c r="N8" i="3"/>
  <c r="H35" i="3" s="1"/>
  <c r="F39" i="3"/>
  <c r="F27" i="3"/>
  <c r="F6" i="3"/>
  <c r="F15" i="3"/>
  <c r="U11" i="3"/>
  <c r="U32" i="3"/>
  <c r="U3" i="3"/>
  <c r="U28" i="3"/>
  <c r="F34" i="3"/>
  <c r="F38" i="3"/>
  <c r="U19" i="3"/>
  <c r="U38" i="3"/>
  <c r="F13" i="3"/>
  <c r="S6" i="3"/>
  <c r="X9" i="3" s="1"/>
  <c r="F18" i="3"/>
  <c r="F23" i="3"/>
  <c r="U34" i="3"/>
  <c r="F24" i="3"/>
  <c r="F20" i="3"/>
  <c r="U10" i="3"/>
  <c r="U15" i="3"/>
  <c r="N7" i="3"/>
  <c r="F33" i="3"/>
  <c r="F16" i="3"/>
  <c r="F7" i="3"/>
  <c r="F37" i="3"/>
  <c r="F12" i="3"/>
  <c r="U33" i="3"/>
  <c r="U27" i="3"/>
  <c r="U24" i="3"/>
  <c r="U7" i="3"/>
  <c r="U37" i="3"/>
  <c r="U20" i="3"/>
  <c r="F17" i="3"/>
  <c r="U8" i="3"/>
  <c r="F26" i="3"/>
  <c r="U42" i="3"/>
  <c r="F10" i="3"/>
  <c r="F32" i="3"/>
  <c r="F28" i="3"/>
  <c r="F41" i="3"/>
  <c r="F5" i="3"/>
  <c r="F42" i="3"/>
  <c r="F25" i="3"/>
  <c r="F8" i="3"/>
  <c r="F35" i="3"/>
  <c r="F29" i="3"/>
  <c r="U26" i="3"/>
  <c r="U43" i="3"/>
  <c r="U16" i="3"/>
  <c r="S7" i="3"/>
  <c r="U29" i="3"/>
  <c r="V14" i="3"/>
  <c r="V22" i="3"/>
  <c r="V30" i="3"/>
  <c r="V38" i="3"/>
  <c r="V7" i="3"/>
  <c r="V15" i="3"/>
  <c r="V39" i="3"/>
  <c r="V8" i="3"/>
  <c r="V16" i="3"/>
  <c r="V24" i="3"/>
  <c r="V32" i="3"/>
  <c r="V40" i="3"/>
  <c r="V25" i="3"/>
  <c r="V33" i="3"/>
  <c r="V41" i="3"/>
  <c r="V10" i="3"/>
  <c r="V18" i="3"/>
  <c r="V26" i="3"/>
  <c r="V42" i="3"/>
  <c r="V13" i="3"/>
  <c r="V36" i="3"/>
  <c r="V43" i="3"/>
  <c r="V44" i="3"/>
  <c r="V3" i="3"/>
  <c r="V37" i="3"/>
  <c r="V20" i="3"/>
  <c r="V21" i="3"/>
  <c r="V28" i="3"/>
  <c r="V5" i="3"/>
  <c r="V27" i="3"/>
  <c r="V35" i="3"/>
  <c r="X8" i="3"/>
  <c r="X16" i="3"/>
  <c r="X24" i="3"/>
  <c r="X32" i="3"/>
  <c r="X40" i="3"/>
  <c r="X17" i="3"/>
  <c r="X25" i="3"/>
  <c r="X33" i="3"/>
  <c r="X41" i="3"/>
  <c r="X10" i="3"/>
  <c r="X18" i="3"/>
  <c r="X26" i="3"/>
  <c r="X42" i="3"/>
  <c r="X11" i="3"/>
  <c r="X27" i="3"/>
  <c r="X35" i="3"/>
  <c r="X43" i="3"/>
  <c r="X20" i="3"/>
  <c r="X28" i="3"/>
  <c r="X44" i="3"/>
  <c r="X5" i="3"/>
  <c r="X13" i="3"/>
  <c r="X21" i="3"/>
  <c r="X29" i="3"/>
  <c r="X37" i="3"/>
  <c r="X3" i="3"/>
  <c r="X19" i="3"/>
  <c r="X4" i="3"/>
  <c r="X23" i="3"/>
  <c r="X38" i="3"/>
  <c r="X7" i="3"/>
  <c r="X14" i="3"/>
  <c r="X15" i="3"/>
  <c r="X30" i="3"/>
  <c r="X6" i="3"/>
  <c r="X39" i="3"/>
  <c r="X22" i="3"/>
  <c r="X31" i="3"/>
  <c r="H11" i="3"/>
  <c r="H19" i="3"/>
  <c r="H27" i="3"/>
  <c r="H5" i="3"/>
  <c r="H13" i="3"/>
  <c r="H21" i="3"/>
  <c r="H29" i="3"/>
  <c r="H37" i="3"/>
  <c r="H3" i="3"/>
  <c r="H39" i="3"/>
  <c r="H8" i="3"/>
  <c r="H24" i="3"/>
  <c r="H17" i="3"/>
  <c r="H33" i="3"/>
  <c r="H10" i="3"/>
  <c r="H18" i="3"/>
  <c r="H42" i="3"/>
  <c r="H4" i="3"/>
  <c r="H12" i="3"/>
  <c r="H20" i="3"/>
  <c r="H28" i="3"/>
  <c r="H36" i="3"/>
  <c r="H44" i="3"/>
  <c r="H31" i="3"/>
  <c r="H16" i="3"/>
  <c r="H32" i="3"/>
  <c r="H40" i="3"/>
  <c r="H9" i="3"/>
  <c r="H25" i="3"/>
  <c r="H41" i="3"/>
  <c r="H34" i="3"/>
  <c r="H6" i="3"/>
  <c r="H14" i="3"/>
  <c r="H22" i="3"/>
  <c r="H30" i="3"/>
  <c r="H38" i="3"/>
  <c r="H7" i="3"/>
  <c r="H15" i="3"/>
  <c r="H43" i="3" l="1"/>
  <c r="V29" i="3"/>
  <c r="V19" i="3"/>
  <c r="V11" i="3"/>
  <c r="V17" i="3"/>
  <c r="V31" i="3"/>
  <c r="V6" i="3"/>
  <c r="H26" i="3"/>
  <c r="H23" i="3"/>
  <c r="X12" i="3"/>
  <c r="X36" i="3"/>
  <c r="X34" i="3"/>
  <c r="V4" i="3"/>
  <c r="V12" i="3"/>
  <c r="V34" i="3"/>
  <c r="V9" i="3"/>
</calcChain>
</file>

<file path=xl/sharedStrings.xml><?xml version="1.0" encoding="utf-8"?>
<sst xmlns="http://schemas.openxmlformats.org/spreadsheetml/2006/main" count="478" uniqueCount="50">
  <si>
    <t>Sample</t>
  </si>
  <si>
    <t>Red</t>
  </si>
  <si>
    <t>Yellow</t>
  </si>
  <si>
    <t>White</t>
  </si>
  <si>
    <t>Light Blue</t>
  </si>
  <si>
    <t>Dark Blue</t>
  </si>
  <si>
    <t>Green</t>
  </si>
  <si>
    <t>Orange</t>
  </si>
  <si>
    <t>Sample size</t>
  </si>
  <si>
    <t>no. of defects</t>
  </si>
  <si>
    <t>Completed Tangrams</t>
  </si>
  <si>
    <t>Defect</t>
  </si>
  <si>
    <t>x</t>
  </si>
  <si>
    <t>Discarded</t>
  </si>
  <si>
    <t>o</t>
  </si>
  <si>
    <t>% defects</t>
  </si>
  <si>
    <t>Samples per colour</t>
  </si>
  <si>
    <t>Tangrams Completed</t>
  </si>
  <si>
    <t>Time (mins)</t>
  </si>
  <si>
    <t>Costs</t>
  </si>
  <si>
    <t>Puzzle Piece</t>
  </si>
  <si>
    <t>Wooden Board</t>
  </si>
  <si>
    <t>Amount</t>
  </si>
  <si>
    <t>Discarded Costs</t>
  </si>
  <si>
    <t>Defects</t>
  </si>
  <si>
    <t>Colour</t>
  </si>
  <si>
    <t>Proportion Defective</t>
  </si>
  <si>
    <t>Std Deviation</t>
  </si>
  <si>
    <t>UCL</t>
  </si>
  <si>
    <t>LCL</t>
  </si>
  <si>
    <t>CL</t>
  </si>
  <si>
    <t>UWL</t>
  </si>
  <si>
    <t>LWL</t>
  </si>
  <si>
    <t>np</t>
  </si>
  <si>
    <t>std dev</t>
  </si>
  <si>
    <t>centre line</t>
  </si>
  <si>
    <t>Pieces Placed</t>
  </si>
  <si>
    <t>U1S</t>
  </si>
  <si>
    <t>L1S</t>
  </si>
  <si>
    <t>U1s</t>
  </si>
  <si>
    <t>x1</t>
  </si>
  <si>
    <t>n1</t>
  </si>
  <si>
    <t>x2</t>
  </si>
  <si>
    <t>n2</t>
  </si>
  <si>
    <t>p1</t>
  </si>
  <si>
    <t>p2</t>
  </si>
  <si>
    <t>p</t>
  </si>
  <si>
    <t>Z</t>
  </si>
  <si>
    <t>PROCESS 1</t>
  </si>
  <si>
    <t>PROCESS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</si>
</sst>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R&quot;#,##0.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7575"/>
        <bgColor indexed="64"/>
      </patternFill>
    </fill>
    <fill>
      <patternFill patternType="solid">
        <fgColor rgb="FFFFFF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/>
        <bgColor indexed="64"/>
      </patternFill>
    </fill>
  </fills>
  <borders count="12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72">
    <xf numFmtId="0" fontId="0" fillId="0" borderId="0" xfId="0"/>
    <xf numFmtId="0" fontId="1" fillId="0" borderId="0" xfId="0" applyFont="1"/>
    <xf numFmtId="0" fontId="1" fillId="2" borderId="0" xfId="0" applyFont="1" applyFill="1"/>
    <xf numFmtId="0" fontId="0" fillId="2" borderId="0" xfId="0" applyFill="1"/>
    <xf numFmtId="0" fontId="1" fillId="3" borderId="0" xfId="0" applyFont="1" applyFill="1"/>
    <xf numFmtId="0" fontId="0" fillId="3" borderId="0" xfId="0" applyFill="1"/>
    <xf numFmtId="0" fontId="1" fillId="4" borderId="0" xfId="0" applyFont="1" applyFill="1"/>
    <xf numFmtId="0" fontId="0" fillId="4" borderId="0" xfId="0" applyFill="1"/>
    <xf numFmtId="0" fontId="1" fillId="5" borderId="0" xfId="0" applyFont="1" applyFill="1"/>
    <xf numFmtId="0" fontId="0" fillId="5" borderId="0" xfId="0" applyFill="1"/>
    <xf numFmtId="0" fontId="1" fillId="6" borderId="0" xfId="0" applyFont="1" applyFill="1"/>
    <xf numFmtId="0" fontId="0" fillId="6" borderId="0" xfId="0" applyFill="1"/>
    <xf numFmtId="0" fontId="1" fillId="7" borderId="0" xfId="0" applyFont="1" applyFill="1"/>
    <xf numFmtId="0" fontId="0" fillId="7" borderId="0" xfId="0" applyFill="1"/>
    <xf numFmtId="0" fontId="1" fillId="8" borderId="0" xfId="0" applyFont="1" applyFill="1"/>
    <xf numFmtId="0" fontId="0" fillId="8" borderId="0" xfId="0" applyFill="1"/>
    <xf numFmtId="20" fontId="0" fillId="0" borderId="0" xfId="0" applyNumberFormat="1"/>
    <xf numFmtId="0" fontId="1" fillId="0" borderId="1" xfId="0" applyFont="1" applyBorder="1"/>
    <xf numFmtId="0" fontId="1" fillId="5" borderId="2" xfId="0" applyFont="1" applyFill="1" applyBorder="1"/>
    <xf numFmtId="0" fontId="1" fillId="7" borderId="2" xfId="0" applyFont="1" applyFill="1" applyBorder="1"/>
    <xf numFmtId="0" fontId="1" fillId="8" borderId="2" xfId="0" applyFont="1" applyFill="1" applyBorder="1"/>
    <xf numFmtId="0" fontId="1" fillId="2" borderId="2" xfId="0" applyFont="1" applyFill="1" applyBorder="1"/>
    <xf numFmtId="0" fontId="1" fillId="3" borderId="2" xfId="0" applyFont="1" applyFill="1" applyBorder="1"/>
    <xf numFmtId="0" fontId="1" fillId="6" borderId="2" xfId="0" applyFont="1" applyFill="1" applyBorder="1"/>
    <xf numFmtId="0" fontId="1" fillId="4" borderId="3" xfId="0" applyFont="1" applyFill="1" applyBorder="1"/>
    <xf numFmtId="0" fontId="1" fillId="0" borderId="4" xfId="0" applyFont="1" applyBorder="1"/>
    <xf numFmtId="0" fontId="0" fillId="4" borderId="5" xfId="0" applyFill="1" applyBorder="1"/>
    <xf numFmtId="0" fontId="1" fillId="0" borderId="6" xfId="0" applyFont="1" applyBorder="1"/>
    <xf numFmtId="164" fontId="0" fillId="0" borderId="0" xfId="0" applyNumberFormat="1"/>
    <xf numFmtId="0" fontId="1" fillId="0" borderId="2" xfId="0" applyFont="1" applyBorder="1"/>
    <xf numFmtId="0" fontId="1" fillId="0" borderId="4" xfId="0" applyFont="1" applyFill="1" applyBorder="1"/>
    <xf numFmtId="0" fontId="0" fillId="0" borderId="0" xfId="0" applyBorder="1"/>
    <xf numFmtId="0" fontId="1" fillId="0" borderId="0" xfId="0" applyFont="1" applyBorder="1"/>
    <xf numFmtId="0" fontId="0" fillId="2" borderId="0" xfId="0" applyFill="1" applyBorder="1" applyAlignment="1">
      <alignment horizontal="center"/>
    </xf>
    <xf numFmtId="0" fontId="0" fillId="6" borderId="0" xfId="0" applyFill="1" applyBorder="1" applyAlignment="1">
      <alignment horizontal="center"/>
    </xf>
    <xf numFmtId="0" fontId="0" fillId="6" borderId="5" xfId="0" applyFill="1" applyBorder="1" applyAlignment="1">
      <alignment horizontal="center"/>
    </xf>
    <xf numFmtId="0" fontId="0" fillId="3" borderId="0" xfId="0" applyFill="1" applyBorder="1" applyAlignment="1">
      <alignment horizontal="center"/>
    </xf>
    <xf numFmtId="0" fontId="0" fillId="7" borderId="0" xfId="0" applyFill="1" applyBorder="1" applyAlignment="1">
      <alignment horizontal="center"/>
    </xf>
    <xf numFmtId="0" fontId="0" fillId="7" borderId="5" xfId="0" applyFill="1" applyBorder="1" applyAlignment="1">
      <alignment horizontal="center"/>
    </xf>
    <xf numFmtId="0" fontId="0" fillId="4" borderId="0" xfId="0" applyFill="1" applyBorder="1" applyAlignment="1">
      <alignment horizontal="center"/>
    </xf>
    <xf numFmtId="0" fontId="0" fillId="8" borderId="0" xfId="0" applyFill="1" applyBorder="1" applyAlignment="1">
      <alignment horizontal="center"/>
    </xf>
    <xf numFmtId="0" fontId="0" fillId="8" borderId="5" xfId="0" applyFill="1" applyBorder="1" applyAlignment="1">
      <alignment horizontal="center"/>
    </xf>
    <xf numFmtId="0" fontId="0" fillId="5" borderId="0" xfId="0" applyFill="1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5" borderId="7" xfId="0" applyFill="1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1" fillId="5" borderId="0" xfId="0" applyFont="1" applyFill="1" applyBorder="1" applyAlignment="1">
      <alignment horizontal="center"/>
    </xf>
    <xf numFmtId="0" fontId="1" fillId="7" borderId="0" xfId="0" applyFont="1" applyFill="1" applyBorder="1" applyAlignment="1">
      <alignment horizontal="center"/>
    </xf>
    <xf numFmtId="0" fontId="1" fillId="8" borderId="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0" fontId="1" fillId="6" borderId="0" xfId="0" applyFont="1" applyFill="1" applyBorder="1" applyAlignment="1">
      <alignment horizontal="center"/>
    </xf>
    <xf numFmtId="0" fontId="1" fillId="4" borderId="5" xfId="0" applyFont="1" applyFill="1" applyBorder="1" applyAlignment="1">
      <alignment horizontal="center"/>
    </xf>
    <xf numFmtId="0" fontId="0" fillId="4" borderId="5" xfId="0" applyFill="1" applyBorder="1" applyAlignment="1">
      <alignment horizontal="center"/>
    </xf>
    <xf numFmtId="0" fontId="0" fillId="7" borderId="7" xfId="0" applyFill="1" applyBorder="1" applyAlignment="1">
      <alignment horizontal="center"/>
    </xf>
    <xf numFmtId="0" fontId="0" fillId="8" borderId="7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6" borderId="7" xfId="0" applyFill="1" applyBorder="1" applyAlignment="1">
      <alignment horizontal="center"/>
    </xf>
    <xf numFmtId="0" fontId="0" fillId="4" borderId="8" xfId="0" applyFill="1" applyBorder="1" applyAlignment="1">
      <alignment horizontal="center"/>
    </xf>
    <xf numFmtId="0" fontId="0" fillId="0" borderId="3" xfId="0" applyBorder="1" applyAlignment="1">
      <alignment horizontal="center"/>
    </xf>
    <xf numFmtId="0" fontId="1" fillId="9" borderId="4" xfId="0" applyFont="1" applyFill="1" applyBorder="1" applyAlignment="1">
      <alignment horizontal="center"/>
    </xf>
    <xf numFmtId="0" fontId="1" fillId="9" borderId="0" xfId="0" applyFont="1" applyFill="1" applyBorder="1" applyAlignment="1">
      <alignment horizontal="center"/>
    </xf>
    <xf numFmtId="0" fontId="1" fillId="9" borderId="5" xfId="0" applyFont="1" applyFill="1" applyBorder="1" applyAlignment="1">
      <alignment horizontal="center"/>
    </xf>
    <xf numFmtId="0" fontId="1" fillId="9" borderId="9" xfId="0" applyFont="1" applyFill="1" applyBorder="1" applyAlignment="1">
      <alignment horizontal="center"/>
    </xf>
    <xf numFmtId="0" fontId="0" fillId="9" borderId="10" xfId="0" applyFill="1" applyBorder="1" applyAlignment="1">
      <alignment horizontal="center"/>
    </xf>
    <xf numFmtId="0" fontId="0" fillId="9" borderId="11" xfId="0" applyFill="1" applyBorder="1" applyAlignment="1">
      <alignment horizontal="center"/>
    </xf>
    <xf numFmtId="0" fontId="1" fillId="9" borderId="10" xfId="0" applyFont="1" applyFill="1" applyBorder="1" applyAlignment="1">
      <alignment horizontal="center"/>
    </xf>
    <xf numFmtId="0" fontId="1" fillId="9" borderId="11" xfId="0" applyFont="1" applyFill="1" applyBorder="1" applyAlignment="1">
      <alignment horizontal="center"/>
    </xf>
    <xf numFmtId="0" fontId="1" fillId="9" borderId="6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FF93"/>
      <color rgb="FFFF7575"/>
      <color rgb="FF9966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pieChart>
        <c:varyColors val="1"/>
        <c:ser>
          <c:idx val="0"/>
          <c:order val="0"/>
          <c:dPt>
            <c:idx val="0"/>
            <c:bubble3D val="0"/>
            <c:spPr>
              <a:solidFill>
                <a:srgbClr val="FF0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1-4E90-4502-BABE-799EAC674CAA}"/>
              </c:ext>
            </c:extLst>
          </c:dPt>
          <c:dPt>
            <c:idx val="1"/>
            <c:bubble3D val="0"/>
            <c:spPr>
              <a:solidFill>
                <a:srgbClr val="FFC000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2-4E90-4502-BABE-799EAC674CAA}"/>
              </c:ext>
            </c:extLst>
          </c:dPt>
          <c:dPt>
            <c:idx val="2"/>
            <c:bubble3D val="0"/>
            <c:spPr>
              <a:solidFill>
                <a:schemeClr val="bg1">
                  <a:lumMod val="75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3-4E90-4502-BABE-799EAC674CAA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4"/>
            <c:bubble3D val="0"/>
            <c:spPr>
              <a:solidFill>
                <a:schemeClr val="tx2">
                  <a:lumMod val="90000"/>
                  <a:lumOff val="10000"/>
                </a:schemeClr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4-4E90-4502-BABE-799EAC674CAA}"/>
              </c:ext>
            </c:extLst>
          </c:dPt>
          <c:dPt>
            <c:idx val="5"/>
            <c:bubble3D val="0"/>
            <c:spPr>
              <a:solidFill>
                <a:schemeClr val="accent6"/>
              </a:solidFill>
              <a:ln w="19050">
                <a:solidFill>
                  <a:schemeClr val="lt1"/>
                </a:solidFill>
              </a:ln>
              <a:effectLst/>
            </c:spPr>
          </c:dPt>
          <c:dPt>
            <c:idx val="6"/>
            <c:bubble3D val="0"/>
            <c:spPr>
              <a:solidFill>
                <a:schemeClr val="accent2"/>
              </a:solidFill>
              <a:ln w="19050">
                <a:solidFill>
                  <a:schemeClr val="lt1"/>
                </a:solidFill>
              </a:ln>
              <a:effectLst/>
            </c:spPr>
            <c:extLst>
              <c:ext xmlns:c16="http://schemas.microsoft.com/office/drawing/2014/chart" uri="{C3380CC4-5D6E-409C-BE32-E72D297353CC}">
                <c16:uniqueId val="{00000005-4E90-4502-BABE-799EAC674CAA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bestFit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f>'Process 1'!$J$16:$J$22</c:f>
              <c:strCache>
                <c:ptCount val="7"/>
                <c:pt idx="0">
                  <c:v>Red</c:v>
                </c:pt>
                <c:pt idx="1">
                  <c:v>Yellow</c:v>
                </c:pt>
                <c:pt idx="2">
                  <c:v>White</c:v>
                </c:pt>
                <c:pt idx="3">
                  <c:v>Light Blue</c:v>
                </c:pt>
                <c:pt idx="4">
                  <c:v>Dark Blue</c:v>
                </c:pt>
                <c:pt idx="5">
                  <c:v>Green</c:v>
                </c:pt>
                <c:pt idx="6">
                  <c:v>Orange</c:v>
                </c:pt>
              </c:strCache>
            </c:strRef>
          </c:cat>
          <c:val>
            <c:numRef>
              <c:f>'Process 1'!$K$16:$K$22</c:f>
              <c:numCache>
                <c:formatCode>General</c:formatCode>
                <c:ptCount val="7"/>
                <c:pt idx="0">
                  <c:v>14</c:v>
                </c:pt>
                <c:pt idx="1">
                  <c:v>14</c:v>
                </c:pt>
                <c:pt idx="2">
                  <c:v>20</c:v>
                </c:pt>
                <c:pt idx="3">
                  <c:v>0</c:v>
                </c:pt>
                <c:pt idx="4">
                  <c:v>15</c:v>
                </c:pt>
                <c:pt idx="5">
                  <c:v>0</c:v>
                </c:pt>
                <c:pt idx="6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E90-4502-BABE-799EAC674CAA}"/>
            </c:ext>
          </c:extLst>
        </c:ser>
        <c:dLbls>
          <c:dLblPos val="bestFit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</c:pie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P-</a:t>
            </a:r>
            <a:r>
              <a:rPr lang="en-ZA" baseline="0"/>
              <a:t>Chart for Process 1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Proportion Defectice</c:v>
          </c:tx>
          <c:spPr>
            <a:ln w="2857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2">
                  <a:lumMod val="25000"/>
                </a:schemeClr>
              </a:solidFill>
              <a:ln w="9525">
                <a:solidFill>
                  <a:schemeClr val="bg2">
                    <a:lumMod val="25000"/>
                  </a:schemeClr>
                </a:solidFill>
              </a:ln>
              <a:effectLst/>
            </c:spPr>
          </c:marker>
          <c:val>
            <c:numRef>
              <c:f>'Analysis P1'!$D$3:$D$44</c:f>
              <c:numCache>
                <c:formatCode>General</c:formatCode>
                <c:ptCount val="42"/>
                <c:pt idx="0">
                  <c:v>0.6</c:v>
                </c:pt>
                <c:pt idx="1">
                  <c:v>0</c:v>
                </c:pt>
                <c:pt idx="2">
                  <c:v>0.8</c:v>
                </c:pt>
                <c:pt idx="3">
                  <c:v>0.4</c:v>
                </c:pt>
                <c:pt idx="4">
                  <c:v>0.6</c:v>
                </c:pt>
                <c:pt idx="5">
                  <c:v>0.4</c:v>
                </c:pt>
                <c:pt idx="6">
                  <c:v>0.8</c:v>
                </c:pt>
                <c:pt idx="7">
                  <c:v>0.6</c:v>
                </c:pt>
                <c:pt idx="8">
                  <c:v>0.6</c:v>
                </c:pt>
                <c:pt idx="9">
                  <c:v>0.2</c:v>
                </c:pt>
                <c:pt idx="10">
                  <c:v>0.4</c:v>
                </c:pt>
                <c:pt idx="11">
                  <c:v>0.2</c:v>
                </c:pt>
                <c:pt idx="12">
                  <c:v>0.6</c:v>
                </c:pt>
                <c:pt idx="13">
                  <c:v>0.8</c:v>
                </c:pt>
                <c:pt idx="14">
                  <c:v>0.8</c:v>
                </c:pt>
                <c:pt idx="15">
                  <c:v>0.6</c:v>
                </c:pt>
                <c:pt idx="16">
                  <c:v>0.6</c:v>
                </c:pt>
                <c:pt idx="17">
                  <c:v>0.6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0.6</c:v>
                </c:pt>
                <c:pt idx="25">
                  <c:v>0.4</c:v>
                </c:pt>
                <c:pt idx="26">
                  <c:v>0.4</c:v>
                </c:pt>
                <c:pt idx="27">
                  <c:v>0.6</c:v>
                </c:pt>
                <c:pt idx="28">
                  <c:v>0.6</c:v>
                </c:pt>
                <c:pt idx="29">
                  <c:v>0.4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0.4</c:v>
                </c:pt>
                <c:pt idx="38">
                  <c:v>0.8</c:v>
                </c:pt>
                <c:pt idx="39">
                  <c:v>0.2</c:v>
                </c:pt>
                <c:pt idx="40">
                  <c:v>0.6</c:v>
                </c:pt>
                <c:pt idx="41">
                  <c:v>0.6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10E-4A4F-AE02-33E9114DFA0E}"/>
            </c:ext>
          </c:extLst>
        </c:ser>
        <c:ser>
          <c:idx val="0"/>
          <c:order val="1"/>
          <c:tx>
            <c:v>Centre Line</c:v>
          </c:tx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'Analysis P1'!$E$3:$E$44</c:f>
              <c:numCache>
                <c:formatCode>General</c:formatCode>
                <c:ptCount val="42"/>
                <c:pt idx="0">
                  <c:v>0.36190476190476184</c:v>
                </c:pt>
                <c:pt idx="1">
                  <c:v>0.36190476190476184</c:v>
                </c:pt>
                <c:pt idx="2">
                  <c:v>0.36190476190476184</c:v>
                </c:pt>
                <c:pt idx="3">
                  <c:v>0.36190476190476184</c:v>
                </c:pt>
                <c:pt idx="4">
                  <c:v>0.36190476190476184</c:v>
                </c:pt>
                <c:pt idx="5">
                  <c:v>0.36190476190476184</c:v>
                </c:pt>
                <c:pt idx="6">
                  <c:v>0.36190476190476184</c:v>
                </c:pt>
                <c:pt idx="7">
                  <c:v>0.36190476190476184</c:v>
                </c:pt>
                <c:pt idx="8">
                  <c:v>0.36190476190476184</c:v>
                </c:pt>
                <c:pt idx="9">
                  <c:v>0.36190476190476184</c:v>
                </c:pt>
                <c:pt idx="10">
                  <c:v>0.36190476190476184</c:v>
                </c:pt>
                <c:pt idx="11">
                  <c:v>0.36190476190476184</c:v>
                </c:pt>
                <c:pt idx="12">
                  <c:v>0.36190476190476184</c:v>
                </c:pt>
                <c:pt idx="13">
                  <c:v>0.36190476190476184</c:v>
                </c:pt>
                <c:pt idx="14">
                  <c:v>0.36190476190476184</c:v>
                </c:pt>
                <c:pt idx="15">
                  <c:v>0.36190476190476184</c:v>
                </c:pt>
                <c:pt idx="16">
                  <c:v>0.36190476190476184</c:v>
                </c:pt>
                <c:pt idx="17">
                  <c:v>0.36190476190476184</c:v>
                </c:pt>
                <c:pt idx="18">
                  <c:v>0.36190476190476184</c:v>
                </c:pt>
                <c:pt idx="19">
                  <c:v>0.36190476190476184</c:v>
                </c:pt>
                <c:pt idx="20">
                  <c:v>0.36190476190476184</c:v>
                </c:pt>
                <c:pt idx="21">
                  <c:v>0.36190476190476184</c:v>
                </c:pt>
                <c:pt idx="22">
                  <c:v>0.36190476190476184</c:v>
                </c:pt>
                <c:pt idx="23">
                  <c:v>0.36190476190476184</c:v>
                </c:pt>
                <c:pt idx="24">
                  <c:v>0.36190476190476184</c:v>
                </c:pt>
                <c:pt idx="25">
                  <c:v>0.36190476190476184</c:v>
                </c:pt>
                <c:pt idx="26">
                  <c:v>0.36190476190476184</c:v>
                </c:pt>
                <c:pt idx="27">
                  <c:v>0.36190476190476184</c:v>
                </c:pt>
                <c:pt idx="28">
                  <c:v>0.36190476190476184</c:v>
                </c:pt>
                <c:pt idx="29">
                  <c:v>0.36190476190476184</c:v>
                </c:pt>
                <c:pt idx="30">
                  <c:v>0.36190476190476184</c:v>
                </c:pt>
                <c:pt idx="31">
                  <c:v>0.36190476190476184</c:v>
                </c:pt>
                <c:pt idx="32">
                  <c:v>0.36190476190476184</c:v>
                </c:pt>
                <c:pt idx="33">
                  <c:v>0.36190476190476184</c:v>
                </c:pt>
                <c:pt idx="34">
                  <c:v>0.36190476190476184</c:v>
                </c:pt>
                <c:pt idx="35">
                  <c:v>0.36190476190476184</c:v>
                </c:pt>
                <c:pt idx="36">
                  <c:v>0.36190476190476184</c:v>
                </c:pt>
                <c:pt idx="37">
                  <c:v>0.36190476190476184</c:v>
                </c:pt>
                <c:pt idx="38">
                  <c:v>0.36190476190476184</c:v>
                </c:pt>
                <c:pt idx="39">
                  <c:v>0.36190476190476184</c:v>
                </c:pt>
                <c:pt idx="40">
                  <c:v>0.36190476190476184</c:v>
                </c:pt>
                <c:pt idx="41">
                  <c:v>0.36190476190476184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10E-4A4F-AE02-33E9114DFA0E}"/>
            </c:ext>
          </c:extLst>
        </c:ser>
        <c:ser>
          <c:idx val="2"/>
          <c:order val="2"/>
          <c:tx>
            <c:v>UCL</c:v>
          </c:tx>
          <c:spPr>
            <a:ln w="2222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'Analysis P1'!$F$3:$F$44</c:f>
              <c:numCache>
                <c:formatCode>General</c:formatCode>
                <c:ptCount val="42"/>
                <c:pt idx="0">
                  <c:v>1.0066321999650285</c:v>
                </c:pt>
                <c:pt idx="1">
                  <c:v>1.0066321999650285</c:v>
                </c:pt>
                <c:pt idx="2">
                  <c:v>1.0066321999650285</c:v>
                </c:pt>
                <c:pt idx="3">
                  <c:v>1.0066321999650285</c:v>
                </c:pt>
                <c:pt idx="4">
                  <c:v>1.0066321999650285</c:v>
                </c:pt>
                <c:pt idx="5">
                  <c:v>1.0066321999650285</c:v>
                </c:pt>
                <c:pt idx="6">
                  <c:v>1.0066321999650285</c:v>
                </c:pt>
                <c:pt idx="7">
                  <c:v>1.0066321999650285</c:v>
                </c:pt>
                <c:pt idx="8">
                  <c:v>1.0066321999650285</c:v>
                </c:pt>
                <c:pt idx="9">
                  <c:v>1.0066321999650285</c:v>
                </c:pt>
                <c:pt idx="10">
                  <c:v>1.0066321999650285</c:v>
                </c:pt>
                <c:pt idx="11">
                  <c:v>1.0066321999650285</c:v>
                </c:pt>
                <c:pt idx="12">
                  <c:v>1.0066321999650285</c:v>
                </c:pt>
                <c:pt idx="13">
                  <c:v>1.0066321999650285</c:v>
                </c:pt>
                <c:pt idx="14">
                  <c:v>1.0066321999650285</c:v>
                </c:pt>
                <c:pt idx="15">
                  <c:v>1.0066321999650285</c:v>
                </c:pt>
                <c:pt idx="16">
                  <c:v>1.0066321999650285</c:v>
                </c:pt>
                <c:pt idx="17">
                  <c:v>1.0066321999650285</c:v>
                </c:pt>
                <c:pt idx="18">
                  <c:v>1.0066321999650285</c:v>
                </c:pt>
                <c:pt idx="19">
                  <c:v>1.0066321999650285</c:v>
                </c:pt>
                <c:pt idx="20">
                  <c:v>1.0066321999650285</c:v>
                </c:pt>
                <c:pt idx="21">
                  <c:v>1.0066321999650285</c:v>
                </c:pt>
                <c:pt idx="22">
                  <c:v>1.0066321999650285</c:v>
                </c:pt>
                <c:pt idx="23">
                  <c:v>1.0066321999650285</c:v>
                </c:pt>
                <c:pt idx="24">
                  <c:v>1.0066321999650285</c:v>
                </c:pt>
                <c:pt idx="25">
                  <c:v>1.0066321999650285</c:v>
                </c:pt>
                <c:pt idx="26">
                  <c:v>1.0066321999650285</c:v>
                </c:pt>
                <c:pt idx="27">
                  <c:v>1.0066321999650285</c:v>
                </c:pt>
                <c:pt idx="28">
                  <c:v>1.0066321999650285</c:v>
                </c:pt>
                <c:pt idx="29">
                  <c:v>1.0066321999650285</c:v>
                </c:pt>
                <c:pt idx="30">
                  <c:v>1.0066321999650285</c:v>
                </c:pt>
                <c:pt idx="31">
                  <c:v>1.0066321999650285</c:v>
                </c:pt>
                <c:pt idx="32">
                  <c:v>1.0066321999650285</c:v>
                </c:pt>
                <c:pt idx="33">
                  <c:v>1.0066321999650285</c:v>
                </c:pt>
                <c:pt idx="34">
                  <c:v>1.0066321999650285</c:v>
                </c:pt>
                <c:pt idx="35">
                  <c:v>1.0066321999650285</c:v>
                </c:pt>
                <c:pt idx="36">
                  <c:v>1.0066321999650285</c:v>
                </c:pt>
                <c:pt idx="37">
                  <c:v>1.0066321999650285</c:v>
                </c:pt>
                <c:pt idx="38">
                  <c:v>1.0066321999650285</c:v>
                </c:pt>
                <c:pt idx="39">
                  <c:v>1.0066321999650285</c:v>
                </c:pt>
                <c:pt idx="40">
                  <c:v>1.0066321999650285</c:v>
                </c:pt>
                <c:pt idx="41">
                  <c:v>1.0066321999650285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10E-4A4F-AE02-33E9114DFA0E}"/>
            </c:ext>
          </c:extLst>
        </c:ser>
        <c:ser>
          <c:idx val="3"/>
          <c:order val="3"/>
          <c:tx>
            <c:v>LCL</c:v>
          </c:tx>
          <c:spPr>
            <a:ln w="22225" cap="rnd">
              <a:solidFill>
                <a:schemeClr val="tx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'Analysis P1'!$G$3:$G$44</c:f>
              <c:numCache>
                <c:formatCode>General</c:formatCode>
                <c:ptCount val="4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710E-4A4F-AE02-33E9114DFA0E}"/>
            </c:ext>
          </c:extLst>
        </c:ser>
        <c:ser>
          <c:idx val="4"/>
          <c:order val="4"/>
          <c:tx>
            <c:v>UWL</c:v>
          </c:tx>
          <c:spPr>
            <a:ln w="2222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'Analysis P1'!$H$3:$H$44</c:f>
              <c:numCache>
                <c:formatCode>General</c:formatCode>
                <c:ptCount val="42"/>
                <c:pt idx="0">
                  <c:v>0.79172305394493958</c:v>
                </c:pt>
                <c:pt idx="1">
                  <c:v>0.79172305394493958</c:v>
                </c:pt>
                <c:pt idx="2">
                  <c:v>0.79172305394493958</c:v>
                </c:pt>
                <c:pt idx="3">
                  <c:v>0.79172305394493958</c:v>
                </c:pt>
                <c:pt idx="4">
                  <c:v>0.79172305394493958</c:v>
                </c:pt>
                <c:pt idx="5">
                  <c:v>0.79172305394493958</c:v>
                </c:pt>
                <c:pt idx="6">
                  <c:v>0.79172305394493958</c:v>
                </c:pt>
                <c:pt idx="7">
                  <c:v>0.79172305394493958</c:v>
                </c:pt>
                <c:pt idx="8">
                  <c:v>0.79172305394493958</c:v>
                </c:pt>
                <c:pt idx="9">
                  <c:v>0.79172305394493958</c:v>
                </c:pt>
                <c:pt idx="10">
                  <c:v>0.79172305394493958</c:v>
                </c:pt>
                <c:pt idx="11">
                  <c:v>0.79172305394493958</c:v>
                </c:pt>
                <c:pt idx="12">
                  <c:v>0.79172305394493958</c:v>
                </c:pt>
                <c:pt idx="13">
                  <c:v>0.79172305394493958</c:v>
                </c:pt>
                <c:pt idx="14">
                  <c:v>0.79172305394493958</c:v>
                </c:pt>
                <c:pt idx="15">
                  <c:v>0.79172305394493958</c:v>
                </c:pt>
                <c:pt idx="16">
                  <c:v>0.79172305394493958</c:v>
                </c:pt>
                <c:pt idx="17">
                  <c:v>0.79172305394493958</c:v>
                </c:pt>
                <c:pt idx="18">
                  <c:v>0.79172305394493958</c:v>
                </c:pt>
                <c:pt idx="19">
                  <c:v>0.79172305394493958</c:v>
                </c:pt>
                <c:pt idx="20">
                  <c:v>0.79172305394493958</c:v>
                </c:pt>
                <c:pt idx="21">
                  <c:v>0.79172305394493958</c:v>
                </c:pt>
                <c:pt idx="22">
                  <c:v>0.79172305394493958</c:v>
                </c:pt>
                <c:pt idx="23">
                  <c:v>0.79172305394493958</c:v>
                </c:pt>
                <c:pt idx="24">
                  <c:v>0.79172305394493958</c:v>
                </c:pt>
                <c:pt idx="25">
                  <c:v>0.79172305394493958</c:v>
                </c:pt>
                <c:pt idx="26">
                  <c:v>0.79172305394493958</c:v>
                </c:pt>
                <c:pt idx="27">
                  <c:v>0.79172305394493958</c:v>
                </c:pt>
                <c:pt idx="28">
                  <c:v>0.79172305394493958</c:v>
                </c:pt>
                <c:pt idx="29">
                  <c:v>0.79172305394493958</c:v>
                </c:pt>
                <c:pt idx="30">
                  <c:v>0.79172305394493958</c:v>
                </c:pt>
                <c:pt idx="31">
                  <c:v>0.79172305394493958</c:v>
                </c:pt>
                <c:pt idx="32">
                  <c:v>0.79172305394493958</c:v>
                </c:pt>
                <c:pt idx="33">
                  <c:v>0.79172305394493958</c:v>
                </c:pt>
                <c:pt idx="34">
                  <c:v>0.79172305394493958</c:v>
                </c:pt>
                <c:pt idx="35">
                  <c:v>0.79172305394493958</c:v>
                </c:pt>
                <c:pt idx="36">
                  <c:v>0.79172305394493958</c:v>
                </c:pt>
                <c:pt idx="37">
                  <c:v>0.79172305394493958</c:v>
                </c:pt>
                <c:pt idx="38">
                  <c:v>0.79172305394493958</c:v>
                </c:pt>
                <c:pt idx="39">
                  <c:v>0.79172305394493958</c:v>
                </c:pt>
                <c:pt idx="40">
                  <c:v>0.79172305394493958</c:v>
                </c:pt>
                <c:pt idx="41">
                  <c:v>0.79172305394493958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710E-4A4F-AE02-33E9114DFA0E}"/>
            </c:ext>
          </c:extLst>
        </c:ser>
        <c:ser>
          <c:idx val="5"/>
          <c:order val="5"/>
          <c:tx>
            <c:v>LWL</c:v>
          </c:tx>
          <c:spPr>
            <a:ln w="22225" cap="rnd">
              <a:solidFill>
                <a:schemeClr val="tx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'Analysis P1'!$I$3:$I$44</c:f>
              <c:numCache>
                <c:formatCode>General</c:formatCode>
                <c:ptCount val="4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710E-4A4F-AE02-33E9114DFA0E}"/>
            </c:ext>
          </c:extLst>
        </c:ser>
        <c:ser>
          <c:idx val="6"/>
          <c:order val="6"/>
          <c:tx>
            <c:v>U1S</c:v>
          </c:tx>
          <c:spPr>
            <a:ln w="22225" cap="rnd">
              <a:solidFill>
                <a:schemeClr val="tx2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'Analysis P1'!$J$3:$J$44</c:f>
              <c:numCache>
                <c:formatCode>General</c:formatCode>
                <c:ptCount val="42"/>
                <c:pt idx="0">
                  <c:v>0.57681390792485077</c:v>
                </c:pt>
                <c:pt idx="1">
                  <c:v>0.57681390792485077</c:v>
                </c:pt>
                <c:pt idx="2">
                  <c:v>0.57681390792485077</c:v>
                </c:pt>
                <c:pt idx="3">
                  <c:v>0.57681390792485077</c:v>
                </c:pt>
                <c:pt idx="4">
                  <c:v>0.57681390792485077</c:v>
                </c:pt>
                <c:pt idx="5">
                  <c:v>0.57681390792485077</c:v>
                </c:pt>
                <c:pt idx="6">
                  <c:v>0.57681390792485077</c:v>
                </c:pt>
                <c:pt idx="7">
                  <c:v>0.57681390792485077</c:v>
                </c:pt>
                <c:pt idx="8">
                  <c:v>0.57681390792485077</c:v>
                </c:pt>
                <c:pt idx="9">
                  <c:v>0.57681390792485077</c:v>
                </c:pt>
                <c:pt idx="10">
                  <c:v>0.57681390792485077</c:v>
                </c:pt>
                <c:pt idx="11">
                  <c:v>0.57681390792485077</c:v>
                </c:pt>
                <c:pt idx="12">
                  <c:v>0.57681390792485077</c:v>
                </c:pt>
                <c:pt idx="13">
                  <c:v>0.57681390792485077</c:v>
                </c:pt>
                <c:pt idx="14">
                  <c:v>0.57681390792485077</c:v>
                </c:pt>
                <c:pt idx="15">
                  <c:v>0.57681390792485077</c:v>
                </c:pt>
                <c:pt idx="16">
                  <c:v>0.57681390792485077</c:v>
                </c:pt>
                <c:pt idx="17">
                  <c:v>0.57681390792485077</c:v>
                </c:pt>
                <c:pt idx="18">
                  <c:v>0.57681390792485077</c:v>
                </c:pt>
                <c:pt idx="19">
                  <c:v>0.57681390792485077</c:v>
                </c:pt>
                <c:pt idx="20">
                  <c:v>0.57681390792485077</c:v>
                </c:pt>
                <c:pt idx="21">
                  <c:v>0.57681390792485077</c:v>
                </c:pt>
                <c:pt idx="22">
                  <c:v>0.57681390792485077</c:v>
                </c:pt>
                <c:pt idx="23">
                  <c:v>0.57681390792485077</c:v>
                </c:pt>
                <c:pt idx="24">
                  <c:v>0.57681390792485077</c:v>
                </c:pt>
                <c:pt idx="25">
                  <c:v>0.57681390792485077</c:v>
                </c:pt>
                <c:pt idx="26">
                  <c:v>0.57681390792485077</c:v>
                </c:pt>
                <c:pt idx="27">
                  <c:v>0.57681390792485077</c:v>
                </c:pt>
                <c:pt idx="28">
                  <c:v>0.57681390792485077</c:v>
                </c:pt>
                <c:pt idx="29">
                  <c:v>0.57681390792485077</c:v>
                </c:pt>
                <c:pt idx="30">
                  <c:v>0.57681390792485077</c:v>
                </c:pt>
                <c:pt idx="31">
                  <c:v>0.57681390792485077</c:v>
                </c:pt>
                <c:pt idx="32">
                  <c:v>0.57681390792485077</c:v>
                </c:pt>
                <c:pt idx="33">
                  <c:v>0.57681390792485077</c:v>
                </c:pt>
                <c:pt idx="34">
                  <c:v>0.57681390792485077</c:v>
                </c:pt>
                <c:pt idx="35">
                  <c:v>0.57681390792485077</c:v>
                </c:pt>
                <c:pt idx="36">
                  <c:v>0.57681390792485077</c:v>
                </c:pt>
                <c:pt idx="37">
                  <c:v>0.57681390792485077</c:v>
                </c:pt>
                <c:pt idx="38">
                  <c:v>0.57681390792485077</c:v>
                </c:pt>
                <c:pt idx="39">
                  <c:v>0.57681390792485077</c:v>
                </c:pt>
                <c:pt idx="40">
                  <c:v>0.57681390792485077</c:v>
                </c:pt>
                <c:pt idx="41">
                  <c:v>0.57681390792485077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710E-4A4F-AE02-33E9114DFA0E}"/>
            </c:ext>
          </c:extLst>
        </c:ser>
        <c:ser>
          <c:idx val="7"/>
          <c:order val="7"/>
          <c:tx>
            <c:v>L1S</c:v>
          </c:tx>
          <c:spPr>
            <a:ln w="22225" cap="rnd">
              <a:solidFill>
                <a:schemeClr val="tx2">
                  <a:lumMod val="25000"/>
                  <a:lumOff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'Analysis P1'!$K$3:$K$44</c:f>
              <c:numCache>
                <c:formatCode>General</c:formatCode>
                <c:ptCount val="42"/>
                <c:pt idx="0">
                  <c:v>0.14699561588467294</c:v>
                </c:pt>
                <c:pt idx="1">
                  <c:v>0.14699561588467294</c:v>
                </c:pt>
                <c:pt idx="2">
                  <c:v>0.14699561588467294</c:v>
                </c:pt>
                <c:pt idx="3">
                  <c:v>0.14699561588467294</c:v>
                </c:pt>
                <c:pt idx="4">
                  <c:v>0.14699561588467294</c:v>
                </c:pt>
                <c:pt idx="5">
                  <c:v>0.14699561588467294</c:v>
                </c:pt>
                <c:pt idx="6">
                  <c:v>0.14699561588467294</c:v>
                </c:pt>
                <c:pt idx="7">
                  <c:v>0.14699561588467294</c:v>
                </c:pt>
                <c:pt idx="8">
                  <c:v>0.14699561588467294</c:v>
                </c:pt>
                <c:pt idx="9">
                  <c:v>0.14699561588467294</c:v>
                </c:pt>
                <c:pt idx="10">
                  <c:v>0.14699561588467294</c:v>
                </c:pt>
                <c:pt idx="11">
                  <c:v>0.14699561588467294</c:v>
                </c:pt>
                <c:pt idx="12">
                  <c:v>0.14699561588467294</c:v>
                </c:pt>
                <c:pt idx="13">
                  <c:v>0.14699561588467294</c:v>
                </c:pt>
                <c:pt idx="14">
                  <c:v>0.14699561588467294</c:v>
                </c:pt>
                <c:pt idx="15">
                  <c:v>0.14699561588467294</c:v>
                </c:pt>
                <c:pt idx="16">
                  <c:v>0.14699561588467294</c:v>
                </c:pt>
                <c:pt idx="17">
                  <c:v>0.14699561588467294</c:v>
                </c:pt>
                <c:pt idx="18">
                  <c:v>0.14699561588467294</c:v>
                </c:pt>
                <c:pt idx="19">
                  <c:v>0.14699561588467294</c:v>
                </c:pt>
                <c:pt idx="20">
                  <c:v>0.14699561588467294</c:v>
                </c:pt>
                <c:pt idx="21">
                  <c:v>0.14699561588467294</c:v>
                </c:pt>
                <c:pt idx="22">
                  <c:v>0.14699561588467294</c:v>
                </c:pt>
                <c:pt idx="23">
                  <c:v>0.14699561588467294</c:v>
                </c:pt>
                <c:pt idx="24">
                  <c:v>0.14699561588467294</c:v>
                </c:pt>
                <c:pt idx="25">
                  <c:v>0.14699561588467294</c:v>
                </c:pt>
                <c:pt idx="26">
                  <c:v>0.14699561588467294</c:v>
                </c:pt>
                <c:pt idx="27">
                  <c:v>0.14699561588467294</c:v>
                </c:pt>
                <c:pt idx="28">
                  <c:v>0.14699561588467294</c:v>
                </c:pt>
                <c:pt idx="29">
                  <c:v>0.14699561588467294</c:v>
                </c:pt>
                <c:pt idx="30">
                  <c:v>0.14699561588467294</c:v>
                </c:pt>
                <c:pt idx="31">
                  <c:v>0.14699561588467294</c:v>
                </c:pt>
                <c:pt idx="32">
                  <c:v>0.14699561588467294</c:v>
                </c:pt>
                <c:pt idx="33">
                  <c:v>0.14699561588467294</c:v>
                </c:pt>
                <c:pt idx="34">
                  <c:v>0.14699561588467294</c:v>
                </c:pt>
                <c:pt idx="35">
                  <c:v>0.14699561588467294</c:v>
                </c:pt>
                <c:pt idx="36">
                  <c:v>0.14699561588467294</c:v>
                </c:pt>
                <c:pt idx="37">
                  <c:v>0.14699561588467294</c:v>
                </c:pt>
                <c:pt idx="38">
                  <c:v>0.14699561588467294</c:v>
                </c:pt>
                <c:pt idx="39">
                  <c:v>0.14699561588467294</c:v>
                </c:pt>
                <c:pt idx="40">
                  <c:v>0.14699561588467294</c:v>
                </c:pt>
                <c:pt idx="41">
                  <c:v>0.14699561588467294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710E-4A4F-AE02-33E9114DFA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31694928"/>
        <c:axId val="1108388576"/>
      </c:lineChart>
      <c:catAx>
        <c:axId val="83169492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Samples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8388576"/>
        <c:crosses val="autoZero"/>
        <c:auto val="1"/>
        <c:lblAlgn val="ctr"/>
        <c:lblOffset val="100"/>
        <c:noMultiLvlLbl val="0"/>
      </c:catAx>
      <c:valAx>
        <c:axId val="1108388576"/>
        <c:scaling>
          <c:orientation val="minMax"/>
          <c:max val="1.2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Proportion Defective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316949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Np-Control</a:t>
            </a:r>
            <a:r>
              <a:rPr lang="en-ZA" baseline="0"/>
              <a:t> Chart for Process 1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Defects</c:v>
          </c:tx>
          <c:spPr>
            <a:ln w="2857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2">
                  <a:lumMod val="25000"/>
                </a:schemeClr>
              </a:solidFill>
              <a:ln w="9525">
                <a:solidFill>
                  <a:schemeClr val="bg2">
                    <a:lumMod val="25000"/>
                  </a:schemeClr>
                </a:solidFill>
              </a:ln>
              <a:effectLst/>
            </c:spPr>
          </c:marker>
          <c:val>
            <c:numRef>
              <c:f>'Analysis P1'!$C$3:$C$44</c:f>
              <c:numCache>
                <c:formatCode>General</c:formatCode>
                <c:ptCount val="42"/>
                <c:pt idx="0">
                  <c:v>3</c:v>
                </c:pt>
                <c:pt idx="1">
                  <c:v>0</c:v>
                </c:pt>
                <c:pt idx="2">
                  <c:v>4</c:v>
                </c:pt>
                <c:pt idx="3">
                  <c:v>2</c:v>
                </c:pt>
                <c:pt idx="4">
                  <c:v>3</c:v>
                </c:pt>
                <c:pt idx="5">
                  <c:v>2</c:v>
                </c:pt>
                <c:pt idx="6">
                  <c:v>4</c:v>
                </c:pt>
                <c:pt idx="7">
                  <c:v>3</c:v>
                </c:pt>
                <c:pt idx="8">
                  <c:v>3</c:v>
                </c:pt>
                <c:pt idx="9">
                  <c:v>1</c:v>
                </c:pt>
                <c:pt idx="10">
                  <c:v>2</c:v>
                </c:pt>
                <c:pt idx="11">
                  <c:v>1</c:v>
                </c:pt>
                <c:pt idx="12">
                  <c:v>3</c:v>
                </c:pt>
                <c:pt idx="13">
                  <c:v>4</c:v>
                </c:pt>
                <c:pt idx="14">
                  <c:v>4</c:v>
                </c:pt>
                <c:pt idx="15">
                  <c:v>3</c:v>
                </c:pt>
                <c:pt idx="16">
                  <c:v>3</c:v>
                </c:pt>
                <c:pt idx="17">
                  <c:v>3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3</c:v>
                </c:pt>
                <c:pt idx="25">
                  <c:v>2</c:v>
                </c:pt>
                <c:pt idx="26">
                  <c:v>2</c:v>
                </c:pt>
                <c:pt idx="27">
                  <c:v>3</c:v>
                </c:pt>
                <c:pt idx="28">
                  <c:v>3</c:v>
                </c:pt>
                <c:pt idx="29">
                  <c:v>2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2</c:v>
                </c:pt>
                <c:pt idx="38">
                  <c:v>4</c:v>
                </c:pt>
                <c:pt idx="39">
                  <c:v>1</c:v>
                </c:pt>
                <c:pt idx="40">
                  <c:v>3</c:v>
                </c:pt>
                <c:pt idx="41">
                  <c:v>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F7E-42B2-9648-303046205ADC}"/>
            </c:ext>
          </c:extLst>
        </c:ser>
        <c:ser>
          <c:idx val="0"/>
          <c:order val="1"/>
          <c:tx>
            <c:v>CL</c:v>
          </c:tx>
          <c:spPr>
            <a:ln w="25400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'Analysis P1'!$U$3:$U$44</c:f>
              <c:numCache>
                <c:formatCode>General</c:formatCode>
                <c:ptCount val="42"/>
                <c:pt idx="0">
                  <c:v>1.8095238095238093</c:v>
                </c:pt>
                <c:pt idx="1">
                  <c:v>1.8095238095238093</c:v>
                </c:pt>
                <c:pt idx="2">
                  <c:v>1.8095238095238093</c:v>
                </c:pt>
                <c:pt idx="3">
                  <c:v>1.8095238095238093</c:v>
                </c:pt>
                <c:pt idx="4">
                  <c:v>1.8095238095238093</c:v>
                </c:pt>
                <c:pt idx="5">
                  <c:v>1.8095238095238093</c:v>
                </c:pt>
                <c:pt idx="6">
                  <c:v>1.8095238095238093</c:v>
                </c:pt>
                <c:pt idx="7">
                  <c:v>1.8095238095238093</c:v>
                </c:pt>
                <c:pt idx="8">
                  <c:v>1.8095238095238093</c:v>
                </c:pt>
                <c:pt idx="9">
                  <c:v>1.8095238095238093</c:v>
                </c:pt>
                <c:pt idx="10">
                  <c:v>1.8095238095238093</c:v>
                </c:pt>
                <c:pt idx="11">
                  <c:v>1.8095238095238093</c:v>
                </c:pt>
                <c:pt idx="12">
                  <c:v>1.8095238095238093</c:v>
                </c:pt>
                <c:pt idx="13">
                  <c:v>1.8095238095238093</c:v>
                </c:pt>
                <c:pt idx="14">
                  <c:v>1.8095238095238093</c:v>
                </c:pt>
                <c:pt idx="15">
                  <c:v>1.8095238095238093</c:v>
                </c:pt>
                <c:pt idx="16">
                  <c:v>1.8095238095238093</c:v>
                </c:pt>
                <c:pt idx="17">
                  <c:v>1.8095238095238093</c:v>
                </c:pt>
                <c:pt idx="18">
                  <c:v>1.8095238095238093</c:v>
                </c:pt>
                <c:pt idx="19">
                  <c:v>1.8095238095238093</c:v>
                </c:pt>
                <c:pt idx="20">
                  <c:v>1.8095238095238093</c:v>
                </c:pt>
                <c:pt idx="21">
                  <c:v>1.8095238095238093</c:v>
                </c:pt>
                <c:pt idx="22">
                  <c:v>1.8095238095238093</c:v>
                </c:pt>
                <c:pt idx="23">
                  <c:v>1.8095238095238093</c:v>
                </c:pt>
                <c:pt idx="24">
                  <c:v>1.8095238095238093</c:v>
                </c:pt>
                <c:pt idx="25">
                  <c:v>1.8095238095238093</c:v>
                </c:pt>
                <c:pt idx="26">
                  <c:v>1.8095238095238093</c:v>
                </c:pt>
                <c:pt idx="27">
                  <c:v>1.8095238095238093</c:v>
                </c:pt>
                <c:pt idx="28">
                  <c:v>1.8095238095238093</c:v>
                </c:pt>
                <c:pt idx="29">
                  <c:v>1.8095238095238093</c:v>
                </c:pt>
                <c:pt idx="30">
                  <c:v>1.8095238095238093</c:v>
                </c:pt>
                <c:pt idx="31">
                  <c:v>1.8095238095238093</c:v>
                </c:pt>
                <c:pt idx="32">
                  <c:v>1.8095238095238093</c:v>
                </c:pt>
                <c:pt idx="33">
                  <c:v>1.8095238095238093</c:v>
                </c:pt>
                <c:pt idx="34">
                  <c:v>1.8095238095238093</c:v>
                </c:pt>
                <c:pt idx="35">
                  <c:v>1.8095238095238093</c:v>
                </c:pt>
                <c:pt idx="36">
                  <c:v>1.8095238095238093</c:v>
                </c:pt>
                <c:pt idx="37">
                  <c:v>1.8095238095238093</c:v>
                </c:pt>
                <c:pt idx="38">
                  <c:v>1.8095238095238093</c:v>
                </c:pt>
                <c:pt idx="39">
                  <c:v>1.8095238095238093</c:v>
                </c:pt>
                <c:pt idx="40">
                  <c:v>1.8095238095238093</c:v>
                </c:pt>
                <c:pt idx="41">
                  <c:v>1.8095238095238093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F7E-42B2-9648-303046205ADC}"/>
            </c:ext>
          </c:extLst>
        </c:ser>
        <c:ser>
          <c:idx val="2"/>
          <c:order val="2"/>
          <c:tx>
            <c:v>UCL</c:v>
          </c:tx>
          <c:spPr>
            <a:ln w="2222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'Analysis P1'!$V$3:$V$44</c:f>
              <c:numCache>
                <c:formatCode>General</c:formatCode>
                <c:ptCount val="42"/>
                <c:pt idx="0">
                  <c:v>5.8450800643311052</c:v>
                </c:pt>
                <c:pt idx="1">
                  <c:v>5.8450800643311052</c:v>
                </c:pt>
                <c:pt idx="2">
                  <c:v>5.8450800643311052</c:v>
                </c:pt>
                <c:pt idx="3">
                  <c:v>5.8450800643311052</c:v>
                </c:pt>
                <c:pt idx="4">
                  <c:v>5.8450800643311052</c:v>
                </c:pt>
                <c:pt idx="5">
                  <c:v>5.8450800643311052</c:v>
                </c:pt>
                <c:pt idx="6">
                  <c:v>5.8450800643311052</c:v>
                </c:pt>
                <c:pt idx="7">
                  <c:v>5.8450800643311052</c:v>
                </c:pt>
                <c:pt idx="8">
                  <c:v>5.8450800643311052</c:v>
                </c:pt>
                <c:pt idx="9">
                  <c:v>5.8450800643311052</c:v>
                </c:pt>
                <c:pt idx="10">
                  <c:v>5.8450800643311052</c:v>
                </c:pt>
                <c:pt idx="11">
                  <c:v>5.8450800643311052</c:v>
                </c:pt>
                <c:pt idx="12">
                  <c:v>5.8450800643311052</c:v>
                </c:pt>
                <c:pt idx="13">
                  <c:v>5.8450800643311052</c:v>
                </c:pt>
                <c:pt idx="14">
                  <c:v>5.8450800643311052</c:v>
                </c:pt>
                <c:pt idx="15">
                  <c:v>5.8450800643311052</c:v>
                </c:pt>
                <c:pt idx="16">
                  <c:v>5.8450800643311052</c:v>
                </c:pt>
                <c:pt idx="17">
                  <c:v>5.8450800643311052</c:v>
                </c:pt>
                <c:pt idx="18">
                  <c:v>5.8450800643311052</c:v>
                </c:pt>
                <c:pt idx="19">
                  <c:v>5.8450800643311052</c:v>
                </c:pt>
                <c:pt idx="20">
                  <c:v>5.8450800643311052</c:v>
                </c:pt>
                <c:pt idx="21">
                  <c:v>5.8450800643311052</c:v>
                </c:pt>
                <c:pt idx="22">
                  <c:v>5.8450800643311052</c:v>
                </c:pt>
                <c:pt idx="23">
                  <c:v>5.8450800643311052</c:v>
                </c:pt>
                <c:pt idx="24">
                  <c:v>5.8450800643311052</c:v>
                </c:pt>
                <c:pt idx="25">
                  <c:v>5.8450800643311052</c:v>
                </c:pt>
                <c:pt idx="26">
                  <c:v>5.8450800643311052</c:v>
                </c:pt>
                <c:pt idx="27">
                  <c:v>5.8450800643311052</c:v>
                </c:pt>
                <c:pt idx="28">
                  <c:v>5.8450800643311052</c:v>
                </c:pt>
                <c:pt idx="29">
                  <c:v>5.8450800643311052</c:v>
                </c:pt>
                <c:pt idx="30">
                  <c:v>5.8450800643311052</c:v>
                </c:pt>
                <c:pt idx="31">
                  <c:v>5.8450800643311052</c:v>
                </c:pt>
                <c:pt idx="32">
                  <c:v>5.8450800643311052</c:v>
                </c:pt>
                <c:pt idx="33">
                  <c:v>5.8450800643311052</c:v>
                </c:pt>
                <c:pt idx="34">
                  <c:v>5.8450800643311052</c:v>
                </c:pt>
                <c:pt idx="35">
                  <c:v>5.8450800643311052</c:v>
                </c:pt>
                <c:pt idx="36">
                  <c:v>5.8450800643311052</c:v>
                </c:pt>
                <c:pt idx="37">
                  <c:v>5.8450800643311052</c:v>
                </c:pt>
                <c:pt idx="38">
                  <c:v>5.8450800643311052</c:v>
                </c:pt>
                <c:pt idx="39">
                  <c:v>5.8450800643311052</c:v>
                </c:pt>
                <c:pt idx="40">
                  <c:v>5.8450800643311052</c:v>
                </c:pt>
                <c:pt idx="41">
                  <c:v>5.8450800643311052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F7E-42B2-9648-303046205ADC}"/>
            </c:ext>
          </c:extLst>
        </c:ser>
        <c:ser>
          <c:idx val="3"/>
          <c:order val="3"/>
          <c:tx>
            <c:v>LCL</c:v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'Analysis P1'!$W$3:$W$44</c:f>
              <c:numCache>
                <c:formatCode>General</c:formatCode>
                <c:ptCount val="4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F7E-42B2-9648-303046205ADC}"/>
            </c:ext>
          </c:extLst>
        </c:ser>
        <c:ser>
          <c:idx val="4"/>
          <c:order val="4"/>
          <c:tx>
            <c:v>UWL</c:v>
          </c:tx>
          <c:spPr>
            <a:ln w="2222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'Analysis P1'!$X$3:$X$44</c:f>
              <c:numCache>
                <c:formatCode>General</c:formatCode>
                <c:ptCount val="42"/>
                <c:pt idx="0">
                  <c:v>4.4998946460620068</c:v>
                </c:pt>
                <c:pt idx="1">
                  <c:v>4.4998946460620068</c:v>
                </c:pt>
                <c:pt idx="2">
                  <c:v>4.4998946460620068</c:v>
                </c:pt>
                <c:pt idx="3">
                  <c:v>4.4998946460620068</c:v>
                </c:pt>
                <c:pt idx="4">
                  <c:v>4.4998946460620068</c:v>
                </c:pt>
                <c:pt idx="5">
                  <c:v>4.4998946460620068</c:v>
                </c:pt>
                <c:pt idx="6">
                  <c:v>4.4998946460620068</c:v>
                </c:pt>
                <c:pt idx="7">
                  <c:v>4.4998946460620068</c:v>
                </c:pt>
                <c:pt idx="8">
                  <c:v>4.4998946460620068</c:v>
                </c:pt>
                <c:pt idx="9">
                  <c:v>4.4998946460620068</c:v>
                </c:pt>
                <c:pt idx="10">
                  <c:v>4.4998946460620068</c:v>
                </c:pt>
                <c:pt idx="11">
                  <c:v>4.4998946460620068</c:v>
                </c:pt>
                <c:pt idx="12">
                  <c:v>4.4998946460620068</c:v>
                </c:pt>
                <c:pt idx="13">
                  <c:v>4.4998946460620068</c:v>
                </c:pt>
                <c:pt idx="14">
                  <c:v>4.4998946460620068</c:v>
                </c:pt>
                <c:pt idx="15">
                  <c:v>4.4998946460620068</c:v>
                </c:pt>
                <c:pt idx="16">
                  <c:v>4.4998946460620068</c:v>
                </c:pt>
                <c:pt idx="17">
                  <c:v>4.4998946460620068</c:v>
                </c:pt>
                <c:pt idx="18">
                  <c:v>4.4998946460620068</c:v>
                </c:pt>
                <c:pt idx="19">
                  <c:v>4.4998946460620068</c:v>
                </c:pt>
                <c:pt idx="20">
                  <c:v>4.4998946460620068</c:v>
                </c:pt>
                <c:pt idx="21">
                  <c:v>4.4998946460620068</c:v>
                </c:pt>
                <c:pt idx="22">
                  <c:v>4.4998946460620068</c:v>
                </c:pt>
                <c:pt idx="23">
                  <c:v>4.4998946460620068</c:v>
                </c:pt>
                <c:pt idx="24">
                  <c:v>4.4998946460620068</c:v>
                </c:pt>
                <c:pt idx="25">
                  <c:v>4.4998946460620068</c:v>
                </c:pt>
                <c:pt idx="26">
                  <c:v>4.4998946460620068</c:v>
                </c:pt>
                <c:pt idx="27">
                  <c:v>4.4998946460620068</c:v>
                </c:pt>
                <c:pt idx="28">
                  <c:v>4.4998946460620068</c:v>
                </c:pt>
                <c:pt idx="29">
                  <c:v>4.4998946460620068</c:v>
                </c:pt>
                <c:pt idx="30">
                  <c:v>4.4998946460620068</c:v>
                </c:pt>
                <c:pt idx="31">
                  <c:v>4.4998946460620068</c:v>
                </c:pt>
                <c:pt idx="32">
                  <c:v>4.4998946460620068</c:v>
                </c:pt>
                <c:pt idx="33">
                  <c:v>4.4998946460620068</c:v>
                </c:pt>
                <c:pt idx="34">
                  <c:v>4.4998946460620068</c:v>
                </c:pt>
                <c:pt idx="35">
                  <c:v>4.4998946460620068</c:v>
                </c:pt>
                <c:pt idx="36">
                  <c:v>4.4998946460620068</c:v>
                </c:pt>
                <c:pt idx="37">
                  <c:v>4.4998946460620068</c:v>
                </c:pt>
                <c:pt idx="38">
                  <c:v>4.4998946460620068</c:v>
                </c:pt>
                <c:pt idx="39">
                  <c:v>4.4998946460620068</c:v>
                </c:pt>
                <c:pt idx="40">
                  <c:v>4.4998946460620068</c:v>
                </c:pt>
                <c:pt idx="41">
                  <c:v>4.4998946460620068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5F7E-42B2-9648-303046205ADC}"/>
            </c:ext>
          </c:extLst>
        </c:ser>
        <c:ser>
          <c:idx val="5"/>
          <c:order val="5"/>
          <c:tx>
            <c:v>LWL</c:v>
          </c:tx>
          <c:spPr>
            <a:ln w="2222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'Analysis P1'!$Y$3:$Y$44</c:f>
              <c:numCache>
                <c:formatCode>General</c:formatCode>
                <c:ptCount val="4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  <c:pt idx="4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5F7E-42B2-9648-303046205A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28727840"/>
        <c:axId val="1828732640"/>
      </c:lineChart>
      <c:catAx>
        <c:axId val="182872784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Samples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8732640"/>
        <c:crosses val="autoZero"/>
        <c:auto val="1"/>
        <c:lblAlgn val="ctr"/>
        <c:lblOffset val="100"/>
        <c:noMultiLvlLbl val="0"/>
      </c:catAx>
      <c:valAx>
        <c:axId val="1828732640"/>
        <c:scaling>
          <c:orientation val="minMax"/>
          <c:max val="6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Defects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872784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/>
              <a:t>G-</a:t>
            </a:r>
            <a:r>
              <a:rPr lang="en-ZA" baseline="0"/>
              <a:t>Chart for Process 2</a:t>
            </a:r>
            <a:endParaRPr lang="en-ZA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ZA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v>Placed Pieces</c:v>
          </c:tx>
          <c:spPr>
            <a:ln w="28575" cap="rnd">
              <a:solidFill>
                <a:schemeClr val="bg2">
                  <a:lumMod val="5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bg2">
                  <a:lumMod val="25000"/>
                </a:schemeClr>
              </a:solidFill>
              <a:ln w="9525">
                <a:solidFill>
                  <a:schemeClr val="bg2">
                    <a:lumMod val="25000"/>
                  </a:schemeClr>
                </a:solidFill>
              </a:ln>
              <a:effectLst/>
            </c:spPr>
          </c:marker>
          <c:val>
            <c:numRef>
              <c:f>'Analysis P2'!$B$2:$B$31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3</c:v>
                </c:pt>
                <c:pt idx="4">
                  <c:v>4</c:v>
                </c:pt>
                <c:pt idx="5">
                  <c:v>3</c:v>
                </c:pt>
                <c:pt idx="6">
                  <c:v>6</c:v>
                </c:pt>
                <c:pt idx="7">
                  <c:v>5</c:v>
                </c:pt>
                <c:pt idx="8">
                  <c:v>4</c:v>
                </c:pt>
                <c:pt idx="9">
                  <c:v>4</c:v>
                </c:pt>
                <c:pt idx="10">
                  <c:v>5</c:v>
                </c:pt>
                <c:pt idx="11">
                  <c:v>3</c:v>
                </c:pt>
                <c:pt idx="12">
                  <c:v>6</c:v>
                </c:pt>
                <c:pt idx="13">
                  <c:v>5</c:v>
                </c:pt>
                <c:pt idx="14">
                  <c:v>4</c:v>
                </c:pt>
                <c:pt idx="15">
                  <c:v>4</c:v>
                </c:pt>
                <c:pt idx="16">
                  <c:v>3</c:v>
                </c:pt>
                <c:pt idx="17">
                  <c:v>3</c:v>
                </c:pt>
                <c:pt idx="18">
                  <c:v>4</c:v>
                </c:pt>
                <c:pt idx="19">
                  <c:v>4</c:v>
                </c:pt>
                <c:pt idx="20">
                  <c:v>3</c:v>
                </c:pt>
                <c:pt idx="21">
                  <c:v>6</c:v>
                </c:pt>
                <c:pt idx="22">
                  <c:v>4</c:v>
                </c:pt>
                <c:pt idx="23">
                  <c:v>4</c:v>
                </c:pt>
                <c:pt idx="24">
                  <c:v>6</c:v>
                </c:pt>
                <c:pt idx="25">
                  <c:v>5</c:v>
                </c:pt>
                <c:pt idx="26">
                  <c:v>3</c:v>
                </c:pt>
                <c:pt idx="27">
                  <c:v>3</c:v>
                </c:pt>
                <c:pt idx="28">
                  <c:v>3</c:v>
                </c:pt>
                <c:pt idx="29">
                  <c:v>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1F4D-4AF5-A1E1-AB869494D00E}"/>
            </c:ext>
          </c:extLst>
        </c:ser>
        <c:ser>
          <c:idx val="0"/>
          <c:order val="1"/>
          <c:tx>
            <c:v>CL</c:v>
          </c:tx>
          <c:spPr>
            <a:ln w="2222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val>
            <c:numRef>
              <c:f>'Analysis P2'!$C$2:$C$31</c:f>
              <c:numCache>
                <c:formatCode>General</c:formatCode>
                <c:ptCount val="30"/>
                <c:pt idx="0">
                  <c:v>4.0333333333333332</c:v>
                </c:pt>
                <c:pt idx="1">
                  <c:v>4.0333333333333332</c:v>
                </c:pt>
                <c:pt idx="2">
                  <c:v>4.0333333333333332</c:v>
                </c:pt>
                <c:pt idx="3">
                  <c:v>4.0333333333333332</c:v>
                </c:pt>
                <c:pt idx="4">
                  <c:v>4.0333333333333332</c:v>
                </c:pt>
                <c:pt idx="5">
                  <c:v>4.0333333333333332</c:v>
                </c:pt>
                <c:pt idx="6">
                  <c:v>4.0333333333333332</c:v>
                </c:pt>
                <c:pt idx="7">
                  <c:v>4.0333333333333332</c:v>
                </c:pt>
                <c:pt idx="8">
                  <c:v>4.0333333333333332</c:v>
                </c:pt>
                <c:pt idx="9">
                  <c:v>4.0333333333333332</c:v>
                </c:pt>
                <c:pt idx="10">
                  <c:v>4.0333333333333332</c:v>
                </c:pt>
                <c:pt idx="11">
                  <c:v>4.0333333333333332</c:v>
                </c:pt>
                <c:pt idx="12">
                  <c:v>4.0333333333333332</c:v>
                </c:pt>
                <c:pt idx="13">
                  <c:v>4.0333333333333332</c:v>
                </c:pt>
                <c:pt idx="14">
                  <c:v>4.0333333333333332</c:v>
                </c:pt>
                <c:pt idx="15">
                  <c:v>4.0333333333333332</c:v>
                </c:pt>
                <c:pt idx="16">
                  <c:v>4.0333333333333332</c:v>
                </c:pt>
                <c:pt idx="17">
                  <c:v>4.0333333333333332</c:v>
                </c:pt>
                <c:pt idx="18">
                  <c:v>4.0333333333333332</c:v>
                </c:pt>
                <c:pt idx="19">
                  <c:v>4.0333333333333332</c:v>
                </c:pt>
                <c:pt idx="20">
                  <c:v>4.0333333333333332</c:v>
                </c:pt>
                <c:pt idx="21">
                  <c:v>4.0333333333333332</c:v>
                </c:pt>
                <c:pt idx="22">
                  <c:v>4.0333333333333332</c:v>
                </c:pt>
                <c:pt idx="23">
                  <c:v>4.0333333333333332</c:v>
                </c:pt>
                <c:pt idx="24">
                  <c:v>4.0333333333333332</c:v>
                </c:pt>
                <c:pt idx="25">
                  <c:v>4.0333333333333332</c:v>
                </c:pt>
                <c:pt idx="26">
                  <c:v>4.0333333333333332</c:v>
                </c:pt>
                <c:pt idx="27">
                  <c:v>4.0333333333333332</c:v>
                </c:pt>
                <c:pt idx="28">
                  <c:v>4.0333333333333332</c:v>
                </c:pt>
                <c:pt idx="29">
                  <c:v>4.0333333333333332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1F4D-4AF5-A1E1-AB869494D00E}"/>
            </c:ext>
          </c:extLst>
        </c:ser>
        <c:ser>
          <c:idx val="2"/>
          <c:order val="2"/>
          <c:tx>
            <c:v>UCL</c:v>
          </c:tx>
          <c:spPr>
            <a:ln w="22225" cap="rnd">
              <a:solidFill>
                <a:schemeClr val="accent1">
                  <a:lumMod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'Analysis P2'!$D$2:$D$31</c:f>
              <c:numCache>
                <c:formatCode>General</c:formatCode>
                <c:ptCount val="30"/>
                <c:pt idx="0">
                  <c:v>17.550359633522291</c:v>
                </c:pt>
                <c:pt idx="1">
                  <c:v>17.550359633522291</c:v>
                </c:pt>
                <c:pt idx="2">
                  <c:v>17.550359633522291</c:v>
                </c:pt>
                <c:pt idx="3">
                  <c:v>17.550359633522291</c:v>
                </c:pt>
                <c:pt idx="4">
                  <c:v>17.550359633522291</c:v>
                </c:pt>
                <c:pt idx="5">
                  <c:v>17.550359633522291</c:v>
                </c:pt>
                <c:pt idx="6">
                  <c:v>17.550359633522291</c:v>
                </c:pt>
                <c:pt idx="7">
                  <c:v>17.550359633522291</c:v>
                </c:pt>
                <c:pt idx="8">
                  <c:v>17.550359633522291</c:v>
                </c:pt>
                <c:pt idx="9">
                  <c:v>17.550359633522291</c:v>
                </c:pt>
                <c:pt idx="10">
                  <c:v>17.550359633522291</c:v>
                </c:pt>
                <c:pt idx="11">
                  <c:v>17.550359633522291</c:v>
                </c:pt>
                <c:pt idx="12">
                  <c:v>17.550359633522291</c:v>
                </c:pt>
                <c:pt idx="13">
                  <c:v>17.550359633522291</c:v>
                </c:pt>
                <c:pt idx="14">
                  <c:v>17.550359633522291</c:v>
                </c:pt>
                <c:pt idx="15">
                  <c:v>17.550359633522291</c:v>
                </c:pt>
                <c:pt idx="16">
                  <c:v>17.550359633522291</c:v>
                </c:pt>
                <c:pt idx="17">
                  <c:v>17.550359633522291</c:v>
                </c:pt>
                <c:pt idx="18">
                  <c:v>17.550359633522291</c:v>
                </c:pt>
                <c:pt idx="19">
                  <c:v>17.550359633522291</c:v>
                </c:pt>
                <c:pt idx="20">
                  <c:v>17.550359633522291</c:v>
                </c:pt>
                <c:pt idx="21">
                  <c:v>17.550359633522291</c:v>
                </c:pt>
                <c:pt idx="22">
                  <c:v>17.550359633522291</c:v>
                </c:pt>
                <c:pt idx="23">
                  <c:v>17.550359633522291</c:v>
                </c:pt>
                <c:pt idx="24">
                  <c:v>17.550359633522291</c:v>
                </c:pt>
                <c:pt idx="25">
                  <c:v>17.550359633522291</c:v>
                </c:pt>
                <c:pt idx="26">
                  <c:v>17.550359633522291</c:v>
                </c:pt>
                <c:pt idx="27">
                  <c:v>17.550359633522291</c:v>
                </c:pt>
                <c:pt idx="28">
                  <c:v>17.550359633522291</c:v>
                </c:pt>
                <c:pt idx="29">
                  <c:v>17.550359633522291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1F4D-4AF5-A1E1-AB869494D00E}"/>
            </c:ext>
          </c:extLst>
        </c:ser>
        <c:ser>
          <c:idx val="3"/>
          <c:order val="3"/>
          <c:tx>
            <c:v>LCL</c:v>
          </c:tx>
          <c:spPr>
            <a:ln w="2857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'Analysis P2'!$E$2:$E$31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1F4D-4AF5-A1E1-AB869494D00E}"/>
            </c:ext>
          </c:extLst>
        </c:ser>
        <c:ser>
          <c:idx val="4"/>
          <c:order val="4"/>
          <c:tx>
            <c:v>UWL</c:v>
          </c:tx>
          <c:spPr>
            <a:ln w="22225" cap="rnd">
              <a:solidFill>
                <a:schemeClr val="accent1">
                  <a:lumMod val="7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'Analysis P2'!$F$2:$F$31</c:f>
              <c:numCache>
                <c:formatCode>General</c:formatCode>
                <c:ptCount val="30"/>
                <c:pt idx="0">
                  <c:v>13.044684200125971</c:v>
                </c:pt>
                <c:pt idx="1">
                  <c:v>13.044684200125971</c:v>
                </c:pt>
                <c:pt idx="2">
                  <c:v>13.044684200125971</c:v>
                </c:pt>
                <c:pt idx="3">
                  <c:v>13.044684200125971</c:v>
                </c:pt>
                <c:pt idx="4">
                  <c:v>13.044684200125971</c:v>
                </c:pt>
                <c:pt idx="5">
                  <c:v>13.044684200125971</c:v>
                </c:pt>
                <c:pt idx="6">
                  <c:v>13.044684200125971</c:v>
                </c:pt>
                <c:pt idx="7">
                  <c:v>13.044684200125971</c:v>
                </c:pt>
                <c:pt idx="8">
                  <c:v>13.044684200125971</c:v>
                </c:pt>
                <c:pt idx="9">
                  <c:v>13.044684200125971</c:v>
                </c:pt>
                <c:pt idx="10">
                  <c:v>13.044684200125971</c:v>
                </c:pt>
                <c:pt idx="11">
                  <c:v>13.044684200125971</c:v>
                </c:pt>
                <c:pt idx="12">
                  <c:v>13.044684200125971</c:v>
                </c:pt>
                <c:pt idx="13">
                  <c:v>13.044684200125971</c:v>
                </c:pt>
                <c:pt idx="14">
                  <c:v>13.044684200125971</c:v>
                </c:pt>
                <c:pt idx="15">
                  <c:v>13.044684200125971</c:v>
                </c:pt>
                <c:pt idx="16">
                  <c:v>13.044684200125971</c:v>
                </c:pt>
                <c:pt idx="17">
                  <c:v>13.044684200125971</c:v>
                </c:pt>
                <c:pt idx="18">
                  <c:v>13.044684200125971</c:v>
                </c:pt>
                <c:pt idx="19">
                  <c:v>13.044684200125971</c:v>
                </c:pt>
                <c:pt idx="20">
                  <c:v>13.044684200125971</c:v>
                </c:pt>
                <c:pt idx="21">
                  <c:v>13.044684200125971</c:v>
                </c:pt>
                <c:pt idx="22">
                  <c:v>13.044684200125971</c:v>
                </c:pt>
                <c:pt idx="23">
                  <c:v>13.044684200125971</c:v>
                </c:pt>
                <c:pt idx="24">
                  <c:v>13.044684200125971</c:v>
                </c:pt>
                <c:pt idx="25">
                  <c:v>13.044684200125971</c:v>
                </c:pt>
                <c:pt idx="26">
                  <c:v>13.044684200125971</c:v>
                </c:pt>
                <c:pt idx="27">
                  <c:v>13.044684200125971</c:v>
                </c:pt>
                <c:pt idx="28">
                  <c:v>13.044684200125971</c:v>
                </c:pt>
                <c:pt idx="29">
                  <c:v>13.044684200125971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1F4D-4AF5-A1E1-AB869494D00E}"/>
            </c:ext>
          </c:extLst>
        </c:ser>
        <c:ser>
          <c:idx val="5"/>
          <c:order val="5"/>
          <c:tx>
            <c:v>LWL</c:v>
          </c:tx>
          <c:spPr>
            <a:ln w="22225" cap="rnd">
              <a:solidFill>
                <a:schemeClr val="accent1">
                  <a:lumMod val="60000"/>
                  <a:lumOff val="4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'Analysis P2'!$G$2:$G$31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1F4D-4AF5-A1E1-AB869494D00E}"/>
            </c:ext>
          </c:extLst>
        </c:ser>
        <c:ser>
          <c:idx val="6"/>
          <c:order val="6"/>
          <c:tx>
            <c:v>U1S</c:v>
          </c:tx>
          <c:spPr>
            <a:ln w="22225" cap="rnd">
              <a:solidFill>
                <a:schemeClr val="tx2">
                  <a:lumMod val="75000"/>
                  <a:lumOff val="25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'Analysis P2'!$H$2:$H$31</c:f>
              <c:numCache>
                <c:formatCode>General</c:formatCode>
                <c:ptCount val="30"/>
                <c:pt idx="0">
                  <c:v>8.5390087667296513</c:v>
                </c:pt>
                <c:pt idx="1">
                  <c:v>8.5390087667296513</c:v>
                </c:pt>
                <c:pt idx="2">
                  <c:v>8.5390087667296513</c:v>
                </c:pt>
                <c:pt idx="3">
                  <c:v>8.5390087667296513</c:v>
                </c:pt>
                <c:pt idx="4">
                  <c:v>8.5390087667296513</c:v>
                </c:pt>
                <c:pt idx="5">
                  <c:v>8.5390087667296513</c:v>
                </c:pt>
                <c:pt idx="6">
                  <c:v>8.5390087667296513</c:v>
                </c:pt>
                <c:pt idx="7">
                  <c:v>8.5390087667296513</c:v>
                </c:pt>
                <c:pt idx="8">
                  <c:v>8.5390087667296513</c:v>
                </c:pt>
                <c:pt idx="9">
                  <c:v>8.5390087667296513</c:v>
                </c:pt>
                <c:pt idx="10">
                  <c:v>8.5390087667296513</c:v>
                </c:pt>
                <c:pt idx="11">
                  <c:v>8.5390087667296513</c:v>
                </c:pt>
                <c:pt idx="12">
                  <c:v>8.5390087667296513</c:v>
                </c:pt>
                <c:pt idx="13">
                  <c:v>8.5390087667296513</c:v>
                </c:pt>
                <c:pt idx="14">
                  <c:v>8.5390087667296513</c:v>
                </c:pt>
                <c:pt idx="15">
                  <c:v>8.5390087667296513</c:v>
                </c:pt>
                <c:pt idx="16">
                  <c:v>8.5390087667296513</c:v>
                </c:pt>
                <c:pt idx="17">
                  <c:v>8.5390087667296513</c:v>
                </c:pt>
                <c:pt idx="18">
                  <c:v>8.5390087667296513</c:v>
                </c:pt>
                <c:pt idx="19">
                  <c:v>8.5390087667296513</c:v>
                </c:pt>
                <c:pt idx="20">
                  <c:v>8.5390087667296513</c:v>
                </c:pt>
                <c:pt idx="21">
                  <c:v>8.5390087667296513</c:v>
                </c:pt>
                <c:pt idx="22">
                  <c:v>8.5390087667296513</c:v>
                </c:pt>
                <c:pt idx="23">
                  <c:v>8.5390087667296513</c:v>
                </c:pt>
                <c:pt idx="24">
                  <c:v>8.5390087667296513</c:v>
                </c:pt>
                <c:pt idx="25">
                  <c:v>8.5390087667296513</c:v>
                </c:pt>
                <c:pt idx="26">
                  <c:v>8.5390087667296513</c:v>
                </c:pt>
                <c:pt idx="27">
                  <c:v>8.5390087667296513</c:v>
                </c:pt>
                <c:pt idx="28">
                  <c:v>8.5390087667296513</c:v>
                </c:pt>
                <c:pt idx="29">
                  <c:v>8.5390087667296513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1F4D-4AF5-A1E1-AB869494D00E}"/>
            </c:ext>
          </c:extLst>
        </c:ser>
        <c:ser>
          <c:idx val="7"/>
          <c:order val="7"/>
          <c:tx>
            <c:v>L1S</c:v>
          </c:tx>
          <c:spPr>
            <a:ln w="22225" cap="rnd">
              <a:solidFill>
                <a:schemeClr val="tx2">
                  <a:lumMod val="50000"/>
                  <a:lumOff val="50000"/>
                </a:schemeClr>
              </a:solidFill>
              <a:round/>
            </a:ln>
            <a:effectLst/>
          </c:spPr>
          <c:marker>
            <c:symbol val="none"/>
          </c:marker>
          <c:val>
            <c:numRef>
              <c:f>'Analysis P2'!$I$2:$I$31</c:f>
              <c:numCache>
                <c:formatCode>General</c:formatCode>
                <c:ptCount val="3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1F4D-4AF5-A1E1-AB869494D00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28734080"/>
        <c:axId val="1828725920"/>
      </c:lineChart>
      <c:catAx>
        <c:axId val="182873408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Samples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8725920"/>
        <c:crosses val="autoZero"/>
        <c:auto val="1"/>
        <c:lblAlgn val="ctr"/>
        <c:lblOffset val="100"/>
        <c:noMultiLvlLbl val="0"/>
      </c:catAx>
      <c:valAx>
        <c:axId val="18287259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/>
                  <a:t>Puzzle</a:t>
                </a:r>
                <a:r>
                  <a:rPr lang="en-ZA" baseline="0"/>
                  <a:t> Pieces Placed</a:t>
                </a:r>
                <a:endParaRPr lang="en-ZA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ZA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873408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450420</xdr:colOff>
      <xdr:row>20</xdr:row>
      <xdr:rowOff>67127</xdr:rowOff>
    </xdr:from>
    <xdr:to>
      <xdr:col>15</xdr:col>
      <xdr:colOff>260372</xdr:colOff>
      <xdr:row>35</xdr:row>
      <xdr:rowOff>148461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1263215-4906-4143-7268-5F82BC451A6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78806</xdr:colOff>
      <xdr:row>11</xdr:row>
      <xdr:rowOff>142753</xdr:rowOff>
    </xdr:from>
    <xdr:to>
      <xdr:col>18</xdr:col>
      <xdr:colOff>308578</xdr:colOff>
      <xdr:row>29</xdr:row>
      <xdr:rowOff>116370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6083D9A-A7D2-AC79-0E26-7DA2E23FD56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713548</xdr:colOff>
      <xdr:row>29</xdr:row>
      <xdr:rowOff>141301</xdr:rowOff>
    </xdr:from>
    <xdr:to>
      <xdr:col>19</xdr:col>
      <xdr:colOff>325424</xdr:colOff>
      <xdr:row>44</xdr:row>
      <xdr:rowOff>107259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217B245A-D954-C2E6-5633-4F8CA613EE1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375703</xdr:colOff>
      <xdr:row>9</xdr:row>
      <xdr:rowOff>46547</xdr:rowOff>
    </xdr:from>
    <xdr:to>
      <xdr:col>17</xdr:col>
      <xdr:colOff>70903</xdr:colOff>
      <xdr:row>27</xdr:row>
      <xdr:rowOff>66261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58C28D44-4888-B4F5-CE5E-A0A09CC213F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038973-CEB2-41EC-B145-51BD2B7C3DE0}">
  <dimension ref="A1:T45"/>
  <sheetViews>
    <sheetView tabSelected="1" topLeftCell="A7" zoomScale="118" workbookViewId="0">
      <selection activeCell="L14" sqref="L14"/>
    </sheetView>
  </sheetViews>
  <sheetFormatPr defaultRowHeight="14.4" x14ac:dyDescent="0.3"/>
  <cols>
    <col min="1" max="1" width="12" style="1" bestFit="1" customWidth="1"/>
    <col min="10" max="10" width="18.88671875" bestFit="1" customWidth="1"/>
    <col min="12" max="12" width="14.6640625" bestFit="1" customWidth="1"/>
  </cols>
  <sheetData>
    <row r="1" spans="1:20" s="1" customFormat="1" x14ac:dyDescent="0.3">
      <c r="A1" s="1" t="s">
        <v>0</v>
      </c>
      <c r="B1" s="2" t="s">
        <v>1</v>
      </c>
      <c r="C1" s="4" t="s">
        <v>2</v>
      </c>
      <c r="D1" s="6" t="s">
        <v>3</v>
      </c>
      <c r="E1" s="8" t="s">
        <v>4</v>
      </c>
      <c r="F1" s="10" t="s">
        <v>5</v>
      </c>
      <c r="G1" s="12" t="s">
        <v>6</v>
      </c>
      <c r="H1" s="14" t="s">
        <v>7</v>
      </c>
    </row>
    <row r="2" spans="1:20" x14ac:dyDescent="0.3">
      <c r="A2" s="1">
        <v>1</v>
      </c>
      <c r="B2" s="3"/>
      <c r="C2" s="5"/>
      <c r="D2" s="7"/>
      <c r="E2" s="9">
        <v>0</v>
      </c>
      <c r="F2" s="11"/>
      <c r="G2" s="13"/>
      <c r="H2" s="15"/>
      <c r="J2" s="1" t="s">
        <v>8</v>
      </c>
      <c r="K2">
        <v>5</v>
      </c>
      <c r="R2" s="1"/>
      <c r="S2" s="1"/>
      <c r="T2" s="1"/>
    </row>
    <row r="3" spans="1:20" x14ac:dyDescent="0.3">
      <c r="A3" s="1">
        <v>2</v>
      </c>
      <c r="B3" s="3"/>
      <c r="C3" s="5"/>
      <c r="D3" s="7"/>
      <c r="E3" s="9">
        <v>0</v>
      </c>
      <c r="F3" s="11"/>
      <c r="G3" s="13"/>
      <c r="H3" s="15"/>
      <c r="J3" s="1" t="s">
        <v>10</v>
      </c>
      <c r="K3">
        <v>0</v>
      </c>
      <c r="R3" s="1">
        <v>1</v>
      </c>
      <c r="S3" t="s">
        <v>1</v>
      </c>
      <c r="T3" s="3">
        <v>3</v>
      </c>
    </row>
    <row r="4" spans="1:20" x14ac:dyDescent="0.3">
      <c r="A4" s="1">
        <v>3</v>
      </c>
      <c r="B4" s="3"/>
      <c r="C4" s="5"/>
      <c r="D4" s="7"/>
      <c r="E4" s="9">
        <v>0</v>
      </c>
      <c r="F4" s="11"/>
      <c r="G4" s="13"/>
      <c r="H4" s="15"/>
      <c r="J4" s="1" t="s">
        <v>16</v>
      </c>
      <c r="K4">
        <v>6</v>
      </c>
      <c r="R4" s="1">
        <v>2</v>
      </c>
      <c r="S4" t="s">
        <v>1</v>
      </c>
      <c r="T4" s="3">
        <v>0</v>
      </c>
    </row>
    <row r="5" spans="1:20" x14ac:dyDescent="0.3">
      <c r="A5" s="1">
        <v>4</v>
      </c>
      <c r="B5" s="3"/>
      <c r="C5" s="5"/>
      <c r="D5" s="7"/>
      <c r="E5" s="9">
        <v>0</v>
      </c>
      <c r="F5" s="11"/>
      <c r="G5" s="13"/>
      <c r="H5" s="15"/>
      <c r="J5" s="1" t="s">
        <v>18</v>
      </c>
      <c r="K5">
        <v>15</v>
      </c>
      <c r="R5" s="1">
        <v>3</v>
      </c>
      <c r="S5" t="s">
        <v>1</v>
      </c>
      <c r="T5" s="3">
        <v>4</v>
      </c>
    </row>
    <row r="6" spans="1:20" x14ac:dyDescent="0.3">
      <c r="A6" s="1">
        <v>5</v>
      </c>
      <c r="B6" s="3"/>
      <c r="C6" s="5"/>
      <c r="D6" s="7"/>
      <c r="E6" s="9">
        <v>0</v>
      </c>
      <c r="F6" s="11"/>
      <c r="G6" s="13"/>
      <c r="H6" s="15"/>
      <c r="R6" s="1">
        <v>4</v>
      </c>
      <c r="S6" t="s">
        <v>1</v>
      </c>
      <c r="T6" s="3">
        <v>2</v>
      </c>
    </row>
    <row r="7" spans="1:20" x14ac:dyDescent="0.3">
      <c r="A7" s="1">
        <v>6</v>
      </c>
      <c r="B7" s="3"/>
      <c r="C7" s="5">
        <v>4</v>
      </c>
      <c r="D7" s="7"/>
      <c r="E7" s="9"/>
      <c r="F7" s="11"/>
      <c r="G7" s="13"/>
      <c r="H7" s="15"/>
      <c r="R7" s="1">
        <v>5</v>
      </c>
      <c r="S7" t="s">
        <v>1</v>
      </c>
      <c r="T7" s="3">
        <v>3</v>
      </c>
    </row>
    <row r="8" spans="1:20" x14ac:dyDescent="0.3">
      <c r="A8" s="1">
        <v>7</v>
      </c>
      <c r="B8" s="3"/>
      <c r="C8" s="5">
        <v>3</v>
      </c>
      <c r="D8" s="7"/>
      <c r="E8" s="9"/>
      <c r="F8" s="11"/>
      <c r="G8" s="13"/>
      <c r="H8" s="15"/>
      <c r="K8" s="1" t="s">
        <v>19</v>
      </c>
      <c r="L8" s="1" t="s">
        <v>22</v>
      </c>
      <c r="R8" s="1">
        <v>6</v>
      </c>
      <c r="S8" t="s">
        <v>1</v>
      </c>
      <c r="T8" s="3">
        <v>2</v>
      </c>
    </row>
    <row r="9" spans="1:20" x14ac:dyDescent="0.3">
      <c r="A9" s="1">
        <v>8</v>
      </c>
      <c r="B9" s="3"/>
      <c r="C9" s="5">
        <v>3</v>
      </c>
      <c r="D9" s="7"/>
      <c r="E9" s="9"/>
      <c r="F9" s="11"/>
      <c r="G9" s="13"/>
      <c r="H9" s="15"/>
      <c r="J9" s="1" t="s">
        <v>20</v>
      </c>
      <c r="K9" s="28">
        <v>2</v>
      </c>
      <c r="L9">
        <f>SUM(B44:H44)</f>
        <v>76</v>
      </c>
      <c r="M9" s="28">
        <f>K9*L9</f>
        <v>152</v>
      </c>
      <c r="R9" s="1">
        <v>7</v>
      </c>
      <c r="S9" t="s">
        <v>2</v>
      </c>
      <c r="T9" s="5">
        <v>4</v>
      </c>
    </row>
    <row r="10" spans="1:20" x14ac:dyDescent="0.3">
      <c r="A10" s="1">
        <v>9</v>
      </c>
      <c r="B10" s="3"/>
      <c r="C10" s="5">
        <v>1</v>
      </c>
      <c r="D10" s="7"/>
      <c r="E10" s="9"/>
      <c r="F10" s="11"/>
      <c r="G10" s="13"/>
      <c r="H10" s="15"/>
      <c r="J10" s="1" t="s">
        <v>21</v>
      </c>
      <c r="K10" s="28">
        <v>5</v>
      </c>
      <c r="L10">
        <v>0</v>
      </c>
      <c r="M10" s="28">
        <f>K10*L10</f>
        <v>0</v>
      </c>
      <c r="R10" s="1">
        <v>8</v>
      </c>
      <c r="S10" t="s">
        <v>2</v>
      </c>
      <c r="T10" s="5">
        <v>3</v>
      </c>
    </row>
    <row r="11" spans="1:20" x14ac:dyDescent="0.3">
      <c r="A11" s="1">
        <v>10</v>
      </c>
      <c r="B11" s="3"/>
      <c r="C11" s="5">
        <v>2</v>
      </c>
      <c r="D11" s="7"/>
      <c r="E11" s="9"/>
      <c r="F11" s="11"/>
      <c r="G11" s="13"/>
      <c r="H11" s="15"/>
      <c r="L11" s="1" t="s">
        <v>23</v>
      </c>
      <c r="M11" s="28">
        <f>SUM(M9:M10)</f>
        <v>152</v>
      </c>
      <c r="R11" s="1">
        <v>9</v>
      </c>
      <c r="S11" t="s">
        <v>2</v>
      </c>
      <c r="T11" s="5">
        <v>3</v>
      </c>
    </row>
    <row r="12" spans="1:20" x14ac:dyDescent="0.3">
      <c r="A12" s="1">
        <v>11</v>
      </c>
      <c r="B12" s="3"/>
      <c r="C12" s="5">
        <v>1</v>
      </c>
      <c r="D12" s="7"/>
      <c r="E12" s="9"/>
      <c r="F12" s="11"/>
      <c r="G12" s="13"/>
      <c r="H12" s="15"/>
      <c r="R12" s="1">
        <v>10</v>
      </c>
      <c r="S12" t="s">
        <v>2</v>
      </c>
      <c r="T12" s="5">
        <v>1</v>
      </c>
    </row>
    <row r="13" spans="1:20" x14ac:dyDescent="0.3">
      <c r="A13" s="1">
        <v>12</v>
      </c>
      <c r="B13" s="3"/>
      <c r="C13" s="5"/>
      <c r="D13" s="7"/>
      <c r="E13" s="9"/>
      <c r="F13" s="11"/>
      <c r="G13" s="13">
        <v>0</v>
      </c>
      <c r="H13" s="15"/>
      <c r="R13" s="1">
        <v>11</v>
      </c>
      <c r="S13" t="s">
        <v>2</v>
      </c>
      <c r="T13" s="5">
        <v>2</v>
      </c>
    </row>
    <row r="14" spans="1:20" x14ac:dyDescent="0.3">
      <c r="A14" s="1">
        <v>13</v>
      </c>
      <c r="B14" s="3"/>
      <c r="C14" s="5"/>
      <c r="D14" s="7"/>
      <c r="E14" s="9"/>
      <c r="F14" s="11"/>
      <c r="G14" s="13">
        <v>0</v>
      </c>
      <c r="H14" s="15"/>
      <c r="R14" s="1">
        <v>12</v>
      </c>
      <c r="S14" t="s">
        <v>2</v>
      </c>
      <c r="T14" s="5">
        <v>1</v>
      </c>
    </row>
    <row r="15" spans="1:20" x14ac:dyDescent="0.3">
      <c r="A15" s="1">
        <v>14</v>
      </c>
      <c r="B15" s="3"/>
      <c r="C15" s="5"/>
      <c r="D15" s="7"/>
      <c r="E15" s="9"/>
      <c r="F15" s="11"/>
      <c r="G15" s="13">
        <v>0</v>
      </c>
      <c r="H15" s="15"/>
      <c r="K15" s="1" t="s">
        <v>24</v>
      </c>
      <c r="L15" s="1">
        <v>0</v>
      </c>
      <c r="M15" s="1">
        <v>1</v>
      </c>
      <c r="N15" s="1">
        <v>2</v>
      </c>
      <c r="O15" s="1">
        <v>3</v>
      </c>
      <c r="P15" s="1">
        <v>4</v>
      </c>
      <c r="R15" s="1">
        <v>13</v>
      </c>
      <c r="S15" t="s">
        <v>3</v>
      </c>
      <c r="T15" s="7">
        <v>3</v>
      </c>
    </row>
    <row r="16" spans="1:20" x14ac:dyDescent="0.3">
      <c r="A16" s="1">
        <v>15</v>
      </c>
      <c r="B16" s="3"/>
      <c r="C16" s="5"/>
      <c r="D16" s="7"/>
      <c r="E16" s="9"/>
      <c r="F16" s="11"/>
      <c r="G16" s="13">
        <v>0</v>
      </c>
      <c r="H16" s="15"/>
      <c r="J16" s="1" t="s">
        <v>1</v>
      </c>
      <c r="K16">
        <v>14</v>
      </c>
      <c r="L16">
        <v>1</v>
      </c>
      <c r="M16">
        <v>0</v>
      </c>
      <c r="N16">
        <v>2</v>
      </c>
      <c r="O16">
        <v>2</v>
      </c>
      <c r="P16">
        <v>1</v>
      </c>
      <c r="R16" s="1">
        <v>14</v>
      </c>
      <c r="S16" t="s">
        <v>3</v>
      </c>
      <c r="T16" s="7">
        <v>4</v>
      </c>
    </row>
    <row r="17" spans="1:20" x14ac:dyDescent="0.3">
      <c r="A17" s="1">
        <v>16</v>
      </c>
      <c r="B17" s="3"/>
      <c r="C17" s="5"/>
      <c r="D17" s="7"/>
      <c r="E17" s="9"/>
      <c r="F17" s="11"/>
      <c r="G17" s="13">
        <v>0</v>
      </c>
      <c r="H17" s="15"/>
      <c r="J17" s="1" t="s">
        <v>2</v>
      </c>
      <c r="K17">
        <v>14</v>
      </c>
      <c r="L17">
        <v>0</v>
      </c>
      <c r="M17">
        <v>2</v>
      </c>
      <c r="N17">
        <v>1</v>
      </c>
      <c r="O17">
        <v>2</v>
      </c>
      <c r="P17">
        <v>1</v>
      </c>
      <c r="R17" s="1">
        <v>15</v>
      </c>
      <c r="S17" t="s">
        <v>3</v>
      </c>
      <c r="T17" s="7">
        <v>4</v>
      </c>
    </row>
    <row r="18" spans="1:20" x14ac:dyDescent="0.3">
      <c r="A18" s="1">
        <v>17</v>
      </c>
      <c r="B18" s="3"/>
      <c r="C18" s="5"/>
      <c r="D18" s="7"/>
      <c r="E18" s="9"/>
      <c r="F18" s="11"/>
      <c r="G18" s="13">
        <v>0</v>
      </c>
      <c r="H18" s="15"/>
      <c r="J18" s="1" t="s">
        <v>3</v>
      </c>
      <c r="K18">
        <v>20</v>
      </c>
      <c r="L18">
        <v>0</v>
      </c>
      <c r="M18">
        <v>0</v>
      </c>
      <c r="N18">
        <v>0</v>
      </c>
      <c r="O18">
        <v>4</v>
      </c>
      <c r="P18">
        <v>2</v>
      </c>
      <c r="R18" s="1">
        <v>16</v>
      </c>
      <c r="S18" t="s">
        <v>3</v>
      </c>
      <c r="T18" s="7">
        <v>3</v>
      </c>
    </row>
    <row r="19" spans="1:20" x14ac:dyDescent="0.3">
      <c r="A19" s="1">
        <v>18</v>
      </c>
      <c r="B19" s="3"/>
      <c r="C19" s="5"/>
      <c r="D19" s="7"/>
      <c r="E19" s="9">
        <v>0</v>
      </c>
      <c r="F19" s="11"/>
      <c r="G19" s="13"/>
      <c r="H19" s="15"/>
      <c r="J19" s="1" t="s">
        <v>4</v>
      </c>
      <c r="K19">
        <v>0</v>
      </c>
      <c r="L19">
        <v>6</v>
      </c>
      <c r="M19">
        <v>0</v>
      </c>
      <c r="N19">
        <v>0</v>
      </c>
      <c r="O19">
        <v>0</v>
      </c>
      <c r="P19">
        <v>0</v>
      </c>
      <c r="R19" s="1">
        <v>17</v>
      </c>
      <c r="S19" t="s">
        <v>3</v>
      </c>
      <c r="T19" s="7">
        <v>3</v>
      </c>
    </row>
    <row r="20" spans="1:20" x14ac:dyDescent="0.3">
      <c r="A20" s="1">
        <v>19</v>
      </c>
      <c r="B20" s="3">
        <v>3</v>
      </c>
      <c r="C20" s="5"/>
      <c r="D20" s="7"/>
      <c r="E20" s="9"/>
      <c r="F20" s="11"/>
      <c r="G20" s="13"/>
      <c r="H20" s="15"/>
      <c r="J20" s="1" t="s">
        <v>5</v>
      </c>
      <c r="K20">
        <v>15</v>
      </c>
      <c r="L20">
        <v>0</v>
      </c>
      <c r="M20">
        <v>0</v>
      </c>
      <c r="N20">
        <v>3</v>
      </c>
      <c r="O20">
        <v>3</v>
      </c>
      <c r="P20">
        <v>0</v>
      </c>
      <c r="R20" s="1">
        <v>18</v>
      </c>
      <c r="S20" t="s">
        <v>3</v>
      </c>
      <c r="T20" s="7">
        <v>3</v>
      </c>
    </row>
    <row r="21" spans="1:20" x14ac:dyDescent="0.3">
      <c r="A21" s="1">
        <v>20</v>
      </c>
      <c r="B21" s="3">
        <v>0</v>
      </c>
      <c r="C21" s="5"/>
      <c r="D21" s="7"/>
      <c r="E21" s="9"/>
      <c r="F21" s="11"/>
      <c r="G21" s="13"/>
      <c r="H21" s="15"/>
      <c r="J21" s="1" t="s">
        <v>6</v>
      </c>
      <c r="K21">
        <v>0</v>
      </c>
      <c r="L21">
        <v>6</v>
      </c>
      <c r="M21">
        <v>0</v>
      </c>
      <c r="N21">
        <v>0</v>
      </c>
      <c r="O21">
        <v>0</v>
      </c>
      <c r="P21">
        <v>0</v>
      </c>
      <c r="R21" s="1">
        <v>19</v>
      </c>
      <c r="S21" t="s">
        <v>4</v>
      </c>
      <c r="T21" s="9">
        <v>0</v>
      </c>
    </row>
    <row r="22" spans="1:20" x14ac:dyDescent="0.3">
      <c r="A22" s="1">
        <v>21</v>
      </c>
      <c r="B22" s="3">
        <v>4</v>
      </c>
      <c r="C22" s="5"/>
      <c r="D22" s="7"/>
      <c r="E22" s="9"/>
      <c r="F22" s="11"/>
      <c r="G22" s="13"/>
      <c r="H22" s="15"/>
      <c r="J22" s="1" t="s">
        <v>7</v>
      </c>
      <c r="K22">
        <v>13</v>
      </c>
      <c r="L22">
        <v>1</v>
      </c>
      <c r="M22">
        <v>1</v>
      </c>
      <c r="N22">
        <v>1</v>
      </c>
      <c r="O22">
        <v>2</v>
      </c>
      <c r="P22">
        <v>1</v>
      </c>
      <c r="R22" s="1">
        <v>20</v>
      </c>
      <c r="S22" t="s">
        <v>4</v>
      </c>
      <c r="T22" s="9">
        <v>0</v>
      </c>
    </row>
    <row r="23" spans="1:20" x14ac:dyDescent="0.3">
      <c r="A23" s="1">
        <v>22</v>
      </c>
      <c r="B23" s="3">
        <v>2</v>
      </c>
      <c r="C23" s="5"/>
      <c r="D23" s="7"/>
      <c r="E23" s="9"/>
      <c r="F23" s="11"/>
      <c r="G23" s="13"/>
      <c r="H23" s="15"/>
      <c r="L23">
        <f>SUM(L16:L22)</f>
        <v>14</v>
      </c>
      <c r="M23">
        <f t="shared" ref="M23:P23" si="0">SUM(M16:M22)</f>
        <v>3</v>
      </c>
      <c r="N23">
        <f t="shared" si="0"/>
        <v>7</v>
      </c>
      <c r="O23">
        <f t="shared" si="0"/>
        <v>13</v>
      </c>
      <c r="P23">
        <f t="shared" si="0"/>
        <v>5</v>
      </c>
      <c r="R23" s="1">
        <v>21</v>
      </c>
      <c r="S23" t="s">
        <v>4</v>
      </c>
      <c r="T23" s="9">
        <v>0</v>
      </c>
    </row>
    <row r="24" spans="1:20" x14ac:dyDescent="0.3">
      <c r="A24" s="1">
        <v>23</v>
      </c>
      <c r="B24" s="3">
        <v>3</v>
      </c>
      <c r="C24" s="5"/>
      <c r="D24" s="7"/>
      <c r="E24" s="9"/>
      <c r="F24" s="11"/>
      <c r="G24" s="13"/>
      <c r="H24" s="15"/>
      <c r="R24" s="1">
        <v>22</v>
      </c>
      <c r="S24" t="s">
        <v>4</v>
      </c>
      <c r="T24" s="9">
        <v>0</v>
      </c>
    </row>
    <row r="25" spans="1:20" x14ac:dyDescent="0.3">
      <c r="A25" s="1">
        <v>24</v>
      </c>
      <c r="B25" s="3">
        <v>2</v>
      </c>
      <c r="C25" s="5"/>
      <c r="D25" s="7"/>
      <c r="E25" s="9"/>
      <c r="F25" s="11"/>
      <c r="G25" s="13"/>
      <c r="H25" s="15"/>
      <c r="R25" s="1">
        <v>23</v>
      </c>
      <c r="S25" t="s">
        <v>4</v>
      </c>
      <c r="T25" s="9">
        <v>0</v>
      </c>
    </row>
    <row r="26" spans="1:20" x14ac:dyDescent="0.3">
      <c r="A26" s="1">
        <v>25</v>
      </c>
      <c r="B26" s="3"/>
      <c r="C26" s="5"/>
      <c r="D26" s="7">
        <v>3</v>
      </c>
      <c r="E26" s="9"/>
      <c r="F26" s="11"/>
      <c r="G26" s="13"/>
      <c r="H26" s="15"/>
      <c r="R26" s="1">
        <v>24</v>
      </c>
      <c r="S26" t="s">
        <v>4</v>
      </c>
      <c r="T26" s="9">
        <v>0</v>
      </c>
    </row>
    <row r="27" spans="1:20" x14ac:dyDescent="0.3">
      <c r="A27" s="1">
        <v>26</v>
      </c>
      <c r="B27" s="3"/>
      <c r="C27" s="5"/>
      <c r="D27" s="7">
        <v>4</v>
      </c>
      <c r="E27" s="9"/>
      <c r="F27" s="11"/>
      <c r="G27" s="13"/>
      <c r="H27" s="15"/>
      <c r="R27" s="1">
        <v>25</v>
      </c>
      <c r="S27" t="s">
        <v>5</v>
      </c>
      <c r="T27" s="11">
        <v>3</v>
      </c>
    </row>
    <row r="28" spans="1:20" x14ac:dyDescent="0.3">
      <c r="A28" s="1">
        <v>27</v>
      </c>
      <c r="B28" s="3"/>
      <c r="C28" s="5"/>
      <c r="D28" s="7">
        <v>4</v>
      </c>
      <c r="E28" s="9"/>
      <c r="F28" s="11"/>
      <c r="G28" s="13"/>
      <c r="H28" s="15"/>
      <c r="R28" s="1">
        <v>26</v>
      </c>
      <c r="S28" t="s">
        <v>5</v>
      </c>
      <c r="T28" s="11">
        <v>2</v>
      </c>
    </row>
    <row r="29" spans="1:20" x14ac:dyDescent="0.3">
      <c r="A29" s="1">
        <v>28</v>
      </c>
      <c r="B29" s="3"/>
      <c r="C29" s="5"/>
      <c r="D29" s="7">
        <v>3</v>
      </c>
      <c r="E29" s="9"/>
      <c r="F29" s="11"/>
      <c r="G29" s="13"/>
      <c r="H29" s="15"/>
      <c r="R29" s="1">
        <v>27</v>
      </c>
      <c r="S29" t="s">
        <v>5</v>
      </c>
      <c r="T29" s="11">
        <v>2</v>
      </c>
    </row>
    <row r="30" spans="1:20" x14ac:dyDescent="0.3">
      <c r="A30" s="1">
        <v>29</v>
      </c>
      <c r="B30" s="3"/>
      <c r="C30" s="5"/>
      <c r="D30" s="7">
        <v>3</v>
      </c>
      <c r="E30" s="9"/>
      <c r="F30" s="11"/>
      <c r="G30" s="13"/>
      <c r="H30" s="15"/>
      <c r="R30" s="1">
        <v>28</v>
      </c>
      <c r="S30" t="s">
        <v>5</v>
      </c>
      <c r="T30" s="11">
        <v>3</v>
      </c>
    </row>
    <row r="31" spans="1:20" x14ac:dyDescent="0.3">
      <c r="A31" s="1">
        <v>30</v>
      </c>
      <c r="B31" s="3"/>
      <c r="C31" s="5"/>
      <c r="D31" s="7">
        <v>3</v>
      </c>
      <c r="E31" s="9"/>
      <c r="F31" s="11"/>
      <c r="G31" s="13"/>
      <c r="H31" s="15"/>
      <c r="R31" s="1">
        <v>29</v>
      </c>
      <c r="S31" t="s">
        <v>5</v>
      </c>
      <c r="T31" s="11">
        <v>3</v>
      </c>
    </row>
    <row r="32" spans="1:20" x14ac:dyDescent="0.3">
      <c r="A32" s="1">
        <v>31</v>
      </c>
      <c r="B32" s="3"/>
      <c r="C32" s="5"/>
      <c r="D32" s="7"/>
      <c r="E32" s="9"/>
      <c r="F32" s="11"/>
      <c r="G32" s="13"/>
      <c r="H32" s="15">
        <v>0</v>
      </c>
      <c r="R32" s="1">
        <v>30</v>
      </c>
      <c r="S32" t="s">
        <v>5</v>
      </c>
      <c r="T32" s="11">
        <v>2</v>
      </c>
    </row>
    <row r="33" spans="1:20" x14ac:dyDescent="0.3">
      <c r="A33" s="1">
        <v>32</v>
      </c>
      <c r="B33" s="3"/>
      <c r="C33" s="5"/>
      <c r="D33" s="7"/>
      <c r="E33" s="9"/>
      <c r="F33" s="11"/>
      <c r="G33" s="13"/>
      <c r="H33" s="15">
        <v>2</v>
      </c>
      <c r="R33" s="1">
        <v>31</v>
      </c>
      <c r="S33" t="s">
        <v>6</v>
      </c>
      <c r="T33" s="13">
        <v>0</v>
      </c>
    </row>
    <row r="34" spans="1:20" x14ac:dyDescent="0.3">
      <c r="A34" s="1">
        <v>33</v>
      </c>
      <c r="B34" s="3"/>
      <c r="C34" s="5"/>
      <c r="D34" s="7"/>
      <c r="E34" s="9"/>
      <c r="F34" s="11"/>
      <c r="G34" s="13"/>
      <c r="H34" s="15">
        <v>4</v>
      </c>
      <c r="R34" s="1">
        <v>32</v>
      </c>
      <c r="S34" t="s">
        <v>6</v>
      </c>
      <c r="T34" s="13">
        <v>0</v>
      </c>
    </row>
    <row r="35" spans="1:20" x14ac:dyDescent="0.3">
      <c r="A35" s="1">
        <v>34</v>
      </c>
      <c r="B35" s="3"/>
      <c r="C35" s="5"/>
      <c r="D35" s="7"/>
      <c r="E35" s="9"/>
      <c r="F35" s="11"/>
      <c r="G35" s="13"/>
      <c r="H35" s="15">
        <v>1</v>
      </c>
      <c r="R35" s="1">
        <v>33</v>
      </c>
      <c r="S35" t="s">
        <v>6</v>
      </c>
      <c r="T35" s="13">
        <v>0</v>
      </c>
    </row>
    <row r="36" spans="1:20" x14ac:dyDescent="0.3">
      <c r="A36" s="1">
        <v>35</v>
      </c>
      <c r="B36" s="3"/>
      <c r="C36" s="5"/>
      <c r="D36" s="7"/>
      <c r="E36" s="9"/>
      <c r="F36" s="11"/>
      <c r="G36" s="13"/>
      <c r="H36" s="15">
        <v>3</v>
      </c>
      <c r="R36" s="1">
        <v>34</v>
      </c>
      <c r="S36" t="s">
        <v>6</v>
      </c>
      <c r="T36" s="13">
        <v>0</v>
      </c>
    </row>
    <row r="37" spans="1:20" x14ac:dyDescent="0.3">
      <c r="A37" s="1">
        <v>36</v>
      </c>
      <c r="B37" s="3"/>
      <c r="C37" s="5"/>
      <c r="D37" s="7"/>
      <c r="E37" s="9"/>
      <c r="F37" s="11"/>
      <c r="G37" s="13"/>
      <c r="H37" s="15">
        <v>3</v>
      </c>
      <c r="R37" s="1">
        <v>35</v>
      </c>
      <c r="S37" t="s">
        <v>6</v>
      </c>
      <c r="T37" s="13">
        <v>0</v>
      </c>
    </row>
    <row r="38" spans="1:20" x14ac:dyDescent="0.3">
      <c r="A38" s="1">
        <v>37</v>
      </c>
      <c r="B38" s="3"/>
      <c r="C38" s="5"/>
      <c r="D38" s="7"/>
      <c r="E38" s="9"/>
      <c r="F38" s="11">
        <v>3</v>
      </c>
      <c r="G38" s="13"/>
      <c r="H38" s="15"/>
      <c r="R38" s="1">
        <v>36</v>
      </c>
      <c r="S38" t="s">
        <v>6</v>
      </c>
      <c r="T38" s="13">
        <v>0</v>
      </c>
    </row>
    <row r="39" spans="1:20" x14ac:dyDescent="0.3">
      <c r="A39" s="1">
        <v>38</v>
      </c>
      <c r="B39" s="3"/>
      <c r="C39" s="5"/>
      <c r="D39" s="7"/>
      <c r="E39" s="9"/>
      <c r="F39" s="11">
        <v>2</v>
      </c>
      <c r="G39" s="13"/>
      <c r="H39" s="15"/>
      <c r="R39" s="1">
        <v>37</v>
      </c>
      <c r="S39" t="s">
        <v>7</v>
      </c>
      <c r="T39" s="15">
        <v>0</v>
      </c>
    </row>
    <row r="40" spans="1:20" x14ac:dyDescent="0.3">
      <c r="A40" s="1">
        <v>39</v>
      </c>
      <c r="B40" s="3"/>
      <c r="C40" s="5"/>
      <c r="D40" s="7"/>
      <c r="E40" s="9"/>
      <c r="F40" s="11">
        <v>2</v>
      </c>
      <c r="G40" s="13"/>
      <c r="H40" s="15"/>
      <c r="R40" s="1">
        <v>38</v>
      </c>
      <c r="S40" t="s">
        <v>7</v>
      </c>
      <c r="T40" s="15">
        <v>2</v>
      </c>
    </row>
    <row r="41" spans="1:20" x14ac:dyDescent="0.3">
      <c r="A41" s="1">
        <v>40</v>
      </c>
      <c r="B41" s="3"/>
      <c r="C41" s="5"/>
      <c r="D41" s="7"/>
      <c r="E41" s="9"/>
      <c r="F41" s="11">
        <v>3</v>
      </c>
      <c r="G41" s="13"/>
      <c r="H41" s="15"/>
      <c r="R41" s="1">
        <v>39</v>
      </c>
      <c r="S41" t="s">
        <v>7</v>
      </c>
      <c r="T41" s="15">
        <v>4</v>
      </c>
    </row>
    <row r="42" spans="1:20" x14ac:dyDescent="0.3">
      <c r="A42" s="1">
        <v>41</v>
      </c>
      <c r="B42" s="3"/>
      <c r="C42" s="5"/>
      <c r="D42" s="7"/>
      <c r="E42" s="9"/>
      <c r="F42" s="11">
        <v>3</v>
      </c>
      <c r="G42" s="13"/>
      <c r="H42" s="15"/>
      <c r="R42" s="1">
        <v>40</v>
      </c>
      <c r="S42" t="s">
        <v>7</v>
      </c>
      <c r="T42" s="15">
        <v>1</v>
      </c>
    </row>
    <row r="43" spans="1:20" x14ac:dyDescent="0.3">
      <c r="A43" s="1">
        <v>42</v>
      </c>
      <c r="B43" s="3"/>
      <c r="C43" s="5"/>
      <c r="D43" s="7"/>
      <c r="E43" s="9"/>
      <c r="F43" s="11">
        <v>2</v>
      </c>
      <c r="G43" s="13"/>
      <c r="H43" s="15"/>
      <c r="R43" s="1">
        <v>41</v>
      </c>
      <c r="S43" t="s">
        <v>7</v>
      </c>
      <c r="T43" s="15">
        <v>3</v>
      </c>
    </row>
    <row r="44" spans="1:20" x14ac:dyDescent="0.3">
      <c r="A44" s="1" t="s">
        <v>9</v>
      </c>
      <c r="B44">
        <f t="shared" ref="B44:H44" si="1">SUM(B2:B43)</f>
        <v>14</v>
      </c>
      <c r="C44">
        <f t="shared" si="1"/>
        <v>14</v>
      </c>
      <c r="D44">
        <f t="shared" si="1"/>
        <v>20</v>
      </c>
      <c r="E44">
        <f t="shared" si="1"/>
        <v>0</v>
      </c>
      <c r="F44">
        <f t="shared" si="1"/>
        <v>15</v>
      </c>
      <c r="G44">
        <f t="shared" si="1"/>
        <v>0</v>
      </c>
      <c r="H44">
        <f t="shared" si="1"/>
        <v>13</v>
      </c>
      <c r="R44" s="1">
        <v>42</v>
      </c>
      <c r="S44" t="s">
        <v>7</v>
      </c>
      <c r="T44" s="15">
        <v>3</v>
      </c>
    </row>
    <row r="45" spans="1:20" x14ac:dyDescent="0.3">
      <c r="A45" s="1" t="s">
        <v>15</v>
      </c>
      <c r="B45">
        <f>B44/($K$2*$K$4)</f>
        <v>0.46666666666666667</v>
      </c>
      <c r="C45">
        <f t="shared" ref="C45:H45" si="2">C44/($K$2*$K$4)</f>
        <v>0.46666666666666667</v>
      </c>
      <c r="D45">
        <f t="shared" si="2"/>
        <v>0.66666666666666663</v>
      </c>
      <c r="E45">
        <f t="shared" si="2"/>
        <v>0</v>
      </c>
      <c r="F45">
        <f t="shared" si="2"/>
        <v>0.5</v>
      </c>
      <c r="G45">
        <f t="shared" si="2"/>
        <v>0</v>
      </c>
      <c r="H45">
        <f t="shared" si="2"/>
        <v>0.43333333333333335</v>
      </c>
      <c r="T45">
        <f>SUM(T3:T44)</f>
        <v>76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A3C650-0C64-42F1-86E5-ABEEB07CE12F}">
  <dimension ref="A1:Y45"/>
  <sheetViews>
    <sheetView zoomScaleNormal="100" workbookViewId="0">
      <selection activeCell="T15" sqref="T15"/>
    </sheetView>
  </sheetViews>
  <sheetFormatPr defaultRowHeight="14.4" x14ac:dyDescent="0.3"/>
  <cols>
    <col min="4" max="4" width="18.21875" bestFit="1" customWidth="1"/>
    <col min="8" max="8" width="18.88671875" bestFit="1" customWidth="1"/>
    <col min="13" max="13" width="18.88671875" bestFit="1" customWidth="1"/>
    <col min="21" max="21" width="11.5546875" bestFit="1" customWidth="1"/>
  </cols>
  <sheetData>
    <row r="1" spans="1:25" x14ac:dyDescent="0.3">
      <c r="A1" s="1"/>
      <c r="B1" s="1"/>
      <c r="C1" s="1"/>
      <c r="D1" s="1"/>
    </row>
    <row r="2" spans="1:25" x14ac:dyDescent="0.3">
      <c r="A2" s="1" t="s">
        <v>0</v>
      </c>
      <c r="B2" s="1" t="s">
        <v>25</v>
      </c>
      <c r="C2" s="1" t="s">
        <v>24</v>
      </c>
      <c r="D2" s="1" t="s">
        <v>26</v>
      </c>
      <c r="E2" s="1" t="s">
        <v>30</v>
      </c>
      <c r="F2" s="1" t="s">
        <v>28</v>
      </c>
      <c r="G2" s="1" t="s">
        <v>29</v>
      </c>
      <c r="H2" s="1" t="s">
        <v>31</v>
      </c>
      <c r="I2" s="1" t="s">
        <v>32</v>
      </c>
      <c r="J2" s="1" t="s">
        <v>37</v>
      </c>
      <c r="K2" s="1" t="s">
        <v>38</v>
      </c>
      <c r="M2" s="1" t="s">
        <v>8</v>
      </c>
      <c r="N2">
        <v>5</v>
      </c>
      <c r="R2" s="1" t="s">
        <v>33</v>
      </c>
      <c r="S2">
        <f>N2*D45</f>
        <v>1.8095238095238093</v>
      </c>
      <c r="U2" s="1" t="s">
        <v>35</v>
      </c>
      <c r="V2" s="1" t="s">
        <v>28</v>
      </c>
      <c r="W2" s="1" t="s">
        <v>29</v>
      </c>
      <c r="X2" s="1" t="s">
        <v>31</v>
      </c>
      <c r="Y2" s="1" t="s">
        <v>32</v>
      </c>
    </row>
    <row r="3" spans="1:25" x14ac:dyDescent="0.3">
      <c r="A3" s="1">
        <v>1</v>
      </c>
      <c r="B3" t="s">
        <v>1</v>
      </c>
      <c r="C3" s="3">
        <v>3</v>
      </c>
      <c r="D3">
        <f t="shared" ref="D3:D44" si="0">C3/$N$2</f>
        <v>0.6</v>
      </c>
      <c r="E3">
        <f>$D$45</f>
        <v>0.36190476190476184</v>
      </c>
      <c r="F3">
        <f t="shared" ref="F3:F44" si="1">$N$6</f>
        <v>1.0066321999650285</v>
      </c>
      <c r="G3">
        <f>$O$7</f>
        <v>0</v>
      </c>
      <c r="H3">
        <f>$N$8</f>
        <v>0.79172305394493958</v>
      </c>
      <c r="I3">
        <f>$O$9</f>
        <v>0</v>
      </c>
      <c r="J3">
        <f>$N$10</f>
        <v>0.57681390792485077</v>
      </c>
      <c r="K3">
        <f>$N$11</f>
        <v>0.14699561588467294</v>
      </c>
      <c r="M3" s="1" t="s">
        <v>10</v>
      </c>
      <c r="N3">
        <v>0</v>
      </c>
      <c r="R3" s="1" t="s">
        <v>34</v>
      </c>
      <c r="S3">
        <f>SQRT(N2 * D45)</f>
        <v>1.3451854182690985</v>
      </c>
      <c r="U3">
        <f>$S$2</f>
        <v>1.8095238095238093</v>
      </c>
      <c r="V3">
        <f>$S$4</f>
        <v>5.8450800643311052</v>
      </c>
      <c r="W3">
        <f>$T$5</f>
        <v>0</v>
      </c>
      <c r="X3">
        <f>$S$6</f>
        <v>4.4998946460620068</v>
      </c>
      <c r="Y3">
        <f>$T$7</f>
        <v>0</v>
      </c>
    </row>
    <row r="4" spans="1:25" x14ac:dyDescent="0.3">
      <c r="A4" s="1">
        <v>2</v>
      </c>
      <c r="B4" t="s">
        <v>1</v>
      </c>
      <c r="C4" s="3">
        <v>0</v>
      </c>
      <c r="D4">
        <f t="shared" si="0"/>
        <v>0</v>
      </c>
      <c r="E4">
        <f t="shared" ref="E4:E44" si="2">$D$45</f>
        <v>0.36190476190476184</v>
      </c>
      <c r="F4">
        <f t="shared" si="1"/>
        <v>1.0066321999650285</v>
      </c>
      <c r="G4">
        <f t="shared" ref="G4:G44" si="3">$O$7</f>
        <v>0</v>
      </c>
      <c r="H4">
        <f t="shared" ref="H4:H44" si="4">$N$8</f>
        <v>0.79172305394493958</v>
      </c>
      <c r="I4">
        <f t="shared" ref="I4:I44" si="5">$O$9</f>
        <v>0</v>
      </c>
      <c r="J4">
        <f t="shared" ref="J4:J44" si="6">$N$10</f>
        <v>0.57681390792485077</v>
      </c>
      <c r="K4">
        <f t="shared" ref="K4:K44" si="7">$N$11</f>
        <v>0.14699561588467294</v>
      </c>
      <c r="M4" s="1" t="s">
        <v>16</v>
      </c>
      <c r="N4">
        <v>6</v>
      </c>
      <c r="R4" s="1" t="s">
        <v>28</v>
      </c>
      <c r="S4">
        <f>$S$2 + 3 * $S$3</f>
        <v>5.8450800643311052</v>
      </c>
      <c r="U4">
        <f t="shared" ref="U4:U44" si="8">$S$2</f>
        <v>1.8095238095238093</v>
      </c>
      <c r="V4">
        <f t="shared" ref="V4:V44" si="9">$S$4</f>
        <v>5.8450800643311052</v>
      </c>
      <c r="W4">
        <f t="shared" ref="W4:W44" si="10">$T$5</f>
        <v>0</v>
      </c>
      <c r="X4">
        <f t="shared" ref="X4:X44" si="11">$S$6</f>
        <v>4.4998946460620068</v>
      </c>
      <c r="Y4">
        <f t="shared" ref="Y4:Y44" si="12">$T$7</f>
        <v>0</v>
      </c>
    </row>
    <row r="5" spans="1:25" x14ac:dyDescent="0.3">
      <c r="A5" s="1">
        <v>3</v>
      </c>
      <c r="B5" t="s">
        <v>1</v>
      </c>
      <c r="C5" s="3">
        <v>4</v>
      </c>
      <c r="D5">
        <f t="shared" si="0"/>
        <v>0.8</v>
      </c>
      <c r="E5">
        <f t="shared" si="2"/>
        <v>0.36190476190476184</v>
      </c>
      <c r="F5">
        <f t="shared" si="1"/>
        <v>1.0066321999650285</v>
      </c>
      <c r="G5">
        <f t="shared" si="3"/>
        <v>0</v>
      </c>
      <c r="H5">
        <f t="shared" si="4"/>
        <v>0.79172305394493958</v>
      </c>
      <c r="I5">
        <f t="shared" si="5"/>
        <v>0</v>
      </c>
      <c r="J5">
        <f t="shared" si="6"/>
        <v>0.57681390792485077</v>
      </c>
      <c r="K5">
        <f t="shared" si="7"/>
        <v>0.14699561588467294</v>
      </c>
      <c r="M5" s="1" t="s">
        <v>27</v>
      </c>
      <c r="N5">
        <f>SQRT(D45 * (1 - D45) / N2)</f>
        <v>0.2149091460200889</v>
      </c>
      <c r="R5" s="1" t="s">
        <v>29</v>
      </c>
      <c r="S5">
        <f>$S$2 - 3 * $S$3</f>
        <v>-2.2260324452834865</v>
      </c>
      <c r="T5">
        <v>0</v>
      </c>
      <c r="U5">
        <f t="shared" si="8"/>
        <v>1.8095238095238093</v>
      </c>
      <c r="V5">
        <f t="shared" si="9"/>
        <v>5.8450800643311052</v>
      </c>
      <c r="W5">
        <f t="shared" si="10"/>
        <v>0</v>
      </c>
      <c r="X5">
        <f t="shared" si="11"/>
        <v>4.4998946460620068</v>
      </c>
      <c r="Y5">
        <f t="shared" si="12"/>
        <v>0</v>
      </c>
    </row>
    <row r="6" spans="1:25" x14ac:dyDescent="0.3">
      <c r="A6" s="1">
        <v>4</v>
      </c>
      <c r="B6" t="s">
        <v>1</v>
      </c>
      <c r="C6" s="3">
        <v>2</v>
      </c>
      <c r="D6">
        <f t="shared" si="0"/>
        <v>0.4</v>
      </c>
      <c r="E6">
        <f t="shared" si="2"/>
        <v>0.36190476190476184</v>
      </c>
      <c r="F6">
        <f t="shared" si="1"/>
        <v>1.0066321999650285</v>
      </c>
      <c r="G6">
        <f t="shared" si="3"/>
        <v>0</v>
      </c>
      <c r="H6">
        <f t="shared" si="4"/>
        <v>0.79172305394493958</v>
      </c>
      <c r="I6">
        <f t="shared" si="5"/>
        <v>0</v>
      </c>
      <c r="J6">
        <f t="shared" si="6"/>
        <v>0.57681390792485077</v>
      </c>
      <c r="K6">
        <f t="shared" si="7"/>
        <v>0.14699561588467294</v>
      </c>
      <c r="M6" s="1" t="s">
        <v>28</v>
      </c>
      <c r="N6">
        <f>D45 + 3 * N5</f>
        <v>1.0066321999650285</v>
      </c>
      <c r="R6" s="1" t="s">
        <v>31</v>
      </c>
      <c r="S6">
        <f>$S$2 + 2 * $S$3</f>
        <v>4.4998946460620068</v>
      </c>
      <c r="U6">
        <f t="shared" si="8"/>
        <v>1.8095238095238093</v>
      </c>
      <c r="V6">
        <f t="shared" si="9"/>
        <v>5.8450800643311052</v>
      </c>
      <c r="W6">
        <f t="shared" si="10"/>
        <v>0</v>
      </c>
      <c r="X6">
        <f t="shared" si="11"/>
        <v>4.4998946460620068</v>
      </c>
      <c r="Y6">
        <f t="shared" si="12"/>
        <v>0</v>
      </c>
    </row>
    <row r="7" spans="1:25" x14ac:dyDescent="0.3">
      <c r="A7" s="1">
        <v>5</v>
      </c>
      <c r="B7" t="s">
        <v>1</v>
      </c>
      <c r="C7" s="3">
        <v>3</v>
      </c>
      <c r="D7">
        <f t="shared" si="0"/>
        <v>0.6</v>
      </c>
      <c r="E7">
        <f t="shared" si="2"/>
        <v>0.36190476190476184</v>
      </c>
      <c r="F7">
        <f t="shared" si="1"/>
        <v>1.0066321999650285</v>
      </c>
      <c r="G7">
        <f t="shared" si="3"/>
        <v>0</v>
      </c>
      <c r="H7">
        <f t="shared" si="4"/>
        <v>0.79172305394493958</v>
      </c>
      <c r="I7">
        <f t="shared" si="5"/>
        <v>0</v>
      </c>
      <c r="J7">
        <f t="shared" si="6"/>
        <v>0.57681390792485077</v>
      </c>
      <c r="K7">
        <f t="shared" si="7"/>
        <v>0.14699561588467294</v>
      </c>
      <c r="M7" s="1" t="s">
        <v>29</v>
      </c>
      <c r="N7">
        <f>D45 - 3 * N5</f>
        <v>-0.28282267615550483</v>
      </c>
      <c r="O7">
        <v>0</v>
      </c>
      <c r="R7" s="1" t="s">
        <v>32</v>
      </c>
      <c r="S7">
        <f>$S$2 - 2 * $S$3</f>
        <v>-0.88084702701438777</v>
      </c>
      <c r="T7">
        <v>0</v>
      </c>
      <c r="U7">
        <f t="shared" si="8"/>
        <v>1.8095238095238093</v>
      </c>
      <c r="V7">
        <f t="shared" si="9"/>
        <v>5.8450800643311052</v>
      </c>
      <c r="W7">
        <f t="shared" si="10"/>
        <v>0</v>
      </c>
      <c r="X7">
        <f t="shared" si="11"/>
        <v>4.4998946460620068</v>
      </c>
      <c r="Y7">
        <f t="shared" si="12"/>
        <v>0</v>
      </c>
    </row>
    <row r="8" spans="1:25" x14ac:dyDescent="0.3">
      <c r="A8" s="1">
        <v>6</v>
      </c>
      <c r="B8" t="s">
        <v>1</v>
      </c>
      <c r="C8" s="3">
        <v>2</v>
      </c>
      <c r="D8">
        <f t="shared" si="0"/>
        <v>0.4</v>
      </c>
      <c r="E8">
        <f t="shared" si="2"/>
        <v>0.36190476190476184</v>
      </c>
      <c r="F8">
        <f t="shared" si="1"/>
        <v>1.0066321999650285</v>
      </c>
      <c r="G8">
        <f t="shared" si="3"/>
        <v>0</v>
      </c>
      <c r="H8">
        <f t="shared" si="4"/>
        <v>0.79172305394493958</v>
      </c>
      <c r="I8">
        <f t="shared" si="5"/>
        <v>0</v>
      </c>
      <c r="J8">
        <f t="shared" si="6"/>
        <v>0.57681390792485077</v>
      </c>
      <c r="K8">
        <f t="shared" si="7"/>
        <v>0.14699561588467294</v>
      </c>
      <c r="M8" s="1" t="s">
        <v>31</v>
      </c>
      <c r="N8">
        <f>D45 + 2 * N5</f>
        <v>0.79172305394493958</v>
      </c>
      <c r="U8">
        <f t="shared" si="8"/>
        <v>1.8095238095238093</v>
      </c>
      <c r="V8">
        <f t="shared" si="9"/>
        <v>5.8450800643311052</v>
      </c>
      <c r="W8">
        <f t="shared" si="10"/>
        <v>0</v>
      </c>
      <c r="X8">
        <f t="shared" si="11"/>
        <v>4.4998946460620068</v>
      </c>
      <c r="Y8">
        <f t="shared" si="12"/>
        <v>0</v>
      </c>
    </row>
    <row r="9" spans="1:25" x14ac:dyDescent="0.3">
      <c r="A9" s="1">
        <v>7</v>
      </c>
      <c r="B9" t="s">
        <v>2</v>
      </c>
      <c r="C9" s="5">
        <v>4</v>
      </c>
      <c r="D9">
        <f t="shared" si="0"/>
        <v>0.8</v>
      </c>
      <c r="E9">
        <f t="shared" si="2"/>
        <v>0.36190476190476184</v>
      </c>
      <c r="F9">
        <f t="shared" si="1"/>
        <v>1.0066321999650285</v>
      </c>
      <c r="G9">
        <f t="shared" si="3"/>
        <v>0</v>
      </c>
      <c r="H9">
        <f t="shared" si="4"/>
        <v>0.79172305394493958</v>
      </c>
      <c r="I9">
        <f t="shared" si="5"/>
        <v>0</v>
      </c>
      <c r="J9">
        <f t="shared" si="6"/>
        <v>0.57681390792485077</v>
      </c>
      <c r="K9">
        <f t="shared" si="7"/>
        <v>0.14699561588467294</v>
      </c>
      <c r="M9" s="1" t="s">
        <v>32</v>
      </c>
      <c r="N9">
        <f>D45 - 2 * N5</f>
        <v>-6.7913530135415956E-2</v>
      </c>
      <c r="O9">
        <v>0</v>
      </c>
      <c r="U9">
        <f t="shared" si="8"/>
        <v>1.8095238095238093</v>
      </c>
      <c r="V9">
        <f t="shared" si="9"/>
        <v>5.8450800643311052</v>
      </c>
      <c r="W9">
        <f t="shared" si="10"/>
        <v>0</v>
      </c>
      <c r="X9">
        <f t="shared" si="11"/>
        <v>4.4998946460620068</v>
      </c>
      <c r="Y9">
        <f t="shared" si="12"/>
        <v>0</v>
      </c>
    </row>
    <row r="10" spans="1:25" x14ac:dyDescent="0.3">
      <c r="A10" s="1">
        <v>8</v>
      </c>
      <c r="B10" t="s">
        <v>2</v>
      </c>
      <c r="C10" s="5">
        <v>3</v>
      </c>
      <c r="D10">
        <f t="shared" si="0"/>
        <v>0.6</v>
      </c>
      <c r="E10">
        <f t="shared" si="2"/>
        <v>0.36190476190476184</v>
      </c>
      <c r="F10">
        <f t="shared" si="1"/>
        <v>1.0066321999650285</v>
      </c>
      <c r="G10">
        <f t="shared" si="3"/>
        <v>0</v>
      </c>
      <c r="H10">
        <f t="shared" si="4"/>
        <v>0.79172305394493958</v>
      </c>
      <c r="I10">
        <f t="shared" si="5"/>
        <v>0</v>
      </c>
      <c r="J10">
        <f t="shared" si="6"/>
        <v>0.57681390792485077</v>
      </c>
      <c r="K10">
        <f t="shared" si="7"/>
        <v>0.14699561588467294</v>
      </c>
      <c r="M10" s="1" t="s">
        <v>39</v>
      </c>
      <c r="N10">
        <f>D45 + 1 * N5</f>
        <v>0.57681390792485077</v>
      </c>
      <c r="U10">
        <f t="shared" si="8"/>
        <v>1.8095238095238093</v>
      </c>
      <c r="V10">
        <f t="shared" si="9"/>
        <v>5.8450800643311052</v>
      </c>
      <c r="W10">
        <f t="shared" si="10"/>
        <v>0</v>
      </c>
      <c r="X10">
        <f t="shared" si="11"/>
        <v>4.4998946460620068</v>
      </c>
      <c r="Y10">
        <f t="shared" si="12"/>
        <v>0</v>
      </c>
    </row>
    <row r="11" spans="1:25" x14ac:dyDescent="0.3">
      <c r="A11" s="1">
        <v>9</v>
      </c>
      <c r="B11" t="s">
        <v>2</v>
      </c>
      <c r="C11" s="5">
        <v>3</v>
      </c>
      <c r="D11">
        <f t="shared" si="0"/>
        <v>0.6</v>
      </c>
      <c r="E11">
        <f t="shared" si="2"/>
        <v>0.36190476190476184</v>
      </c>
      <c r="F11">
        <f t="shared" si="1"/>
        <v>1.0066321999650285</v>
      </c>
      <c r="G11">
        <f t="shared" si="3"/>
        <v>0</v>
      </c>
      <c r="H11">
        <f t="shared" si="4"/>
        <v>0.79172305394493958</v>
      </c>
      <c r="I11">
        <f t="shared" si="5"/>
        <v>0</v>
      </c>
      <c r="J11">
        <f t="shared" si="6"/>
        <v>0.57681390792485077</v>
      </c>
      <c r="K11">
        <f t="shared" si="7"/>
        <v>0.14699561588467294</v>
      </c>
      <c r="M11" s="1" t="s">
        <v>38</v>
      </c>
      <c r="N11">
        <f>D45 - 1 * N5</f>
        <v>0.14699561588467294</v>
      </c>
      <c r="U11">
        <f t="shared" si="8"/>
        <v>1.8095238095238093</v>
      </c>
      <c r="V11">
        <f t="shared" si="9"/>
        <v>5.8450800643311052</v>
      </c>
      <c r="W11">
        <f t="shared" si="10"/>
        <v>0</v>
      </c>
      <c r="X11">
        <f t="shared" si="11"/>
        <v>4.4998946460620068</v>
      </c>
      <c r="Y11">
        <f t="shared" si="12"/>
        <v>0</v>
      </c>
    </row>
    <row r="12" spans="1:25" x14ac:dyDescent="0.3">
      <c r="A12" s="1">
        <v>10</v>
      </c>
      <c r="B12" t="s">
        <v>2</v>
      </c>
      <c r="C12" s="5">
        <v>1</v>
      </c>
      <c r="D12">
        <f t="shared" si="0"/>
        <v>0.2</v>
      </c>
      <c r="E12">
        <f t="shared" si="2"/>
        <v>0.36190476190476184</v>
      </c>
      <c r="F12">
        <f t="shared" si="1"/>
        <v>1.0066321999650285</v>
      </c>
      <c r="G12">
        <f t="shared" si="3"/>
        <v>0</v>
      </c>
      <c r="H12">
        <f t="shared" si="4"/>
        <v>0.79172305394493958</v>
      </c>
      <c r="I12">
        <f t="shared" si="5"/>
        <v>0</v>
      </c>
      <c r="J12">
        <f t="shared" si="6"/>
        <v>0.57681390792485077</v>
      </c>
      <c r="K12">
        <f t="shared" si="7"/>
        <v>0.14699561588467294</v>
      </c>
      <c r="U12">
        <f t="shared" si="8"/>
        <v>1.8095238095238093</v>
      </c>
      <c r="V12">
        <f t="shared" si="9"/>
        <v>5.8450800643311052</v>
      </c>
      <c r="W12">
        <f t="shared" si="10"/>
        <v>0</v>
      </c>
      <c r="X12">
        <f t="shared" si="11"/>
        <v>4.4998946460620068</v>
      </c>
      <c r="Y12">
        <f t="shared" si="12"/>
        <v>0</v>
      </c>
    </row>
    <row r="13" spans="1:25" x14ac:dyDescent="0.3">
      <c r="A13" s="1">
        <v>11</v>
      </c>
      <c r="B13" t="s">
        <v>2</v>
      </c>
      <c r="C13" s="5">
        <v>2</v>
      </c>
      <c r="D13">
        <f t="shared" si="0"/>
        <v>0.4</v>
      </c>
      <c r="E13">
        <f t="shared" si="2"/>
        <v>0.36190476190476184</v>
      </c>
      <c r="F13">
        <f t="shared" si="1"/>
        <v>1.0066321999650285</v>
      </c>
      <c r="G13">
        <f t="shared" si="3"/>
        <v>0</v>
      </c>
      <c r="H13">
        <f t="shared" si="4"/>
        <v>0.79172305394493958</v>
      </c>
      <c r="I13">
        <f t="shared" si="5"/>
        <v>0</v>
      </c>
      <c r="J13">
        <f t="shared" si="6"/>
        <v>0.57681390792485077</v>
      </c>
      <c r="K13">
        <f t="shared" si="7"/>
        <v>0.14699561588467294</v>
      </c>
      <c r="U13">
        <f t="shared" si="8"/>
        <v>1.8095238095238093</v>
      </c>
      <c r="V13">
        <f t="shared" si="9"/>
        <v>5.8450800643311052</v>
      </c>
      <c r="W13">
        <f t="shared" si="10"/>
        <v>0</v>
      </c>
      <c r="X13">
        <f t="shared" si="11"/>
        <v>4.4998946460620068</v>
      </c>
      <c r="Y13">
        <f t="shared" si="12"/>
        <v>0</v>
      </c>
    </row>
    <row r="14" spans="1:25" x14ac:dyDescent="0.3">
      <c r="A14" s="1">
        <v>12</v>
      </c>
      <c r="B14" t="s">
        <v>2</v>
      </c>
      <c r="C14" s="5">
        <v>1</v>
      </c>
      <c r="D14">
        <f t="shared" si="0"/>
        <v>0.2</v>
      </c>
      <c r="E14">
        <f t="shared" si="2"/>
        <v>0.36190476190476184</v>
      </c>
      <c r="F14">
        <f t="shared" si="1"/>
        <v>1.0066321999650285</v>
      </c>
      <c r="G14">
        <f t="shared" si="3"/>
        <v>0</v>
      </c>
      <c r="H14">
        <f t="shared" si="4"/>
        <v>0.79172305394493958</v>
      </c>
      <c r="I14">
        <f t="shared" si="5"/>
        <v>0</v>
      </c>
      <c r="J14">
        <f t="shared" si="6"/>
        <v>0.57681390792485077</v>
      </c>
      <c r="K14">
        <f t="shared" si="7"/>
        <v>0.14699561588467294</v>
      </c>
      <c r="U14">
        <f t="shared" si="8"/>
        <v>1.8095238095238093</v>
      </c>
      <c r="V14">
        <f t="shared" si="9"/>
        <v>5.8450800643311052</v>
      </c>
      <c r="W14">
        <f t="shared" si="10"/>
        <v>0</v>
      </c>
      <c r="X14">
        <f t="shared" si="11"/>
        <v>4.4998946460620068</v>
      </c>
      <c r="Y14">
        <f t="shared" si="12"/>
        <v>0</v>
      </c>
    </row>
    <row r="15" spans="1:25" x14ac:dyDescent="0.3">
      <c r="A15" s="1">
        <v>13</v>
      </c>
      <c r="B15" t="s">
        <v>3</v>
      </c>
      <c r="C15" s="7">
        <v>3</v>
      </c>
      <c r="D15">
        <f t="shared" si="0"/>
        <v>0.6</v>
      </c>
      <c r="E15">
        <f t="shared" si="2"/>
        <v>0.36190476190476184</v>
      </c>
      <c r="F15">
        <f t="shared" si="1"/>
        <v>1.0066321999650285</v>
      </c>
      <c r="G15">
        <f t="shared" si="3"/>
        <v>0</v>
      </c>
      <c r="H15">
        <f t="shared" si="4"/>
        <v>0.79172305394493958</v>
      </c>
      <c r="I15">
        <f t="shared" si="5"/>
        <v>0</v>
      </c>
      <c r="J15">
        <f t="shared" si="6"/>
        <v>0.57681390792485077</v>
      </c>
      <c r="K15">
        <f t="shared" si="7"/>
        <v>0.14699561588467294</v>
      </c>
      <c r="U15">
        <f t="shared" si="8"/>
        <v>1.8095238095238093</v>
      </c>
      <c r="V15">
        <f t="shared" si="9"/>
        <v>5.8450800643311052</v>
      </c>
      <c r="W15">
        <f t="shared" si="10"/>
        <v>0</v>
      </c>
      <c r="X15">
        <f t="shared" si="11"/>
        <v>4.4998946460620068</v>
      </c>
      <c r="Y15">
        <f t="shared" si="12"/>
        <v>0</v>
      </c>
    </row>
    <row r="16" spans="1:25" x14ac:dyDescent="0.3">
      <c r="A16" s="1">
        <v>14</v>
      </c>
      <c r="B16" t="s">
        <v>3</v>
      </c>
      <c r="C16" s="7">
        <v>4</v>
      </c>
      <c r="D16">
        <f t="shared" si="0"/>
        <v>0.8</v>
      </c>
      <c r="E16">
        <f t="shared" si="2"/>
        <v>0.36190476190476184</v>
      </c>
      <c r="F16">
        <f t="shared" si="1"/>
        <v>1.0066321999650285</v>
      </c>
      <c r="G16">
        <f t="shared" si="3"/>
        <v>0</v>
      </c>
      <c r="H16">
        <f t="shared" si="4"/>
        <v>0.79172305394493958</v>
      </c>
      <c r="I16">
        <f t="shared" si="5"/>
        <v>0</v>
      </c>
      <c r="J16">
        <f t="shared" si="6"/>
        <v>0.57681390792485077</v>
      </c>
      <c r="K16">
        <f t="shared" si="7"/>
        <v>0.14699561588467294</v>
      </c>
      <c r="U16">
        <f t="shared" si="8"/>
        <v>1.8095238095238093</v>
      </c>
      <c r="V16">
        <f t="shared" si="9"/>
        <v>5.8450800643311052</v>
      </c>
      <c r="W16">
        <f t="shared" si="10"/>
        <v>0</v>
      </c>
      <c r="X16">
        <f t="shared" si="11"/>
        <v>4.4998946460620068</v>
      </c>
      <c r="Y16">
        <f t="shared" si="12"/>
        <v>0</v>
      </c>
    </row>
    <row r="17" spans="1:25" x14ac:dyDescent="0.3">
      <c r="A17" s="1">
        <v>15</v>
      </c>
      <c r="B17" t="s">
        <v>3</v>
      </c>
      <c r="C17" s="7">
        <v>4</v>
      </c>
      <c r="D17">
        <f t="shared" si="0"/>
        <v>0.8</v>
      </c>
      <c r="E17">
        <f t="shared" si="2"/>
        <v>0.36190476190476184</v>
      </c>
      <c r="F17">
        <f t="shared" si="1"/>
        <v>1.0066321999650285</v>
      </c>
      <c r="G17">
        <f t="shared" si="3"/>
        <v>0</v>
      </c>
      <c r="H17">
        <f t="shared" si="4"/>
        <v>0.79172305394493958</v>
      </c>
      <c r="I17">
        <f t="shared" si="5"/>
        <v>0</v>
      </c>
      <c r="J17">
        <f t="shared" si="6"/>
        <v>0.57681390792485077</v>
      </c>
      <c r="K17">
        <f t="shared" si="7"/>
        <v>0.14699561588467294</v>
      </c>
      <c r="U17">
        <f t="shared" si="8"/>
        <v>1.8095238095238093</v>
      </c>
      <c r="V17">
        <f t="shared" si="9"/>
        <v>5.8450800643311052</v>
      </c>
      <c r="W17">
        <f t="shared" si="10"/>
        <v>0</v>
      </c>
      <c r="X17">
        <f t="shared" si="11"/>
        <v>4.4998946460620068</v>
      </c>
      <c r="Y17">
        <f t="shared" si="12"/>
        <v>0</v>
      </c>
    </row>
    <row r="18" spans="1:25" x14ac:dyDescent="0.3">
      <c r="A18" s="1">
        <v>16</v>
      </c>
      <c r="B18" t="s">
        <v>3</v>
      </c>
      <c r="C18" s="7">
        <v>3</v>
      </c>
      <c r="D18">
        <f t="shared" si="0"/>
        <v>0.6</v>
      </c>
      <c r="E18">
        <f t="shared" si="2"/>
        <v>0.36190476190476184</v>
      </c>
      <c r="F18">
        <f t="shared" si="1"/>
        <v>1.0066321999650285</v>
      </c>
      <c r="G18">
        <f t="shared" si="3"/>
        <v>0</v>
      </c>
      <c r="H18">
        <f t="shared" si="4"/>
        <v>0.79172305394493958</v>
      </c>
      <c r="I18">
        <f t="shared" si="5"/>
        <v>0</v>
      </c>
      <c r="J18">
        <f t="shared" si="6"/>
        <v>0.57681390792485077</v>
      </c>
      <c r="K18">
        <f t="shared" si="7"/>
        <v>0.14699561588467294</v>
      </c>
      <c r="U18">
        <f t="shared" si="8"/>
        <v>1.8095238095238093</v>
      </c>
      <c r="V18">
        <f t="shared" si="9"/>
        <v>5.8450800643311052</v>
      </c>
      <c r="W18">
        <f t="shared" si="10"/>
        <v>0</v>
      </c>
      <c r="X18">
        <f t="shared" si="11"/>
        <v>4.4998946460620068</v>
      </c>
      <c r="Y18">
        <f t="shared" si="12"/>
        <v>0</v>
      </c>
    </row>
    <row r="19" spans="1:25" x14ac:dyDescent="0.3">
      <c r="A19" s="1">
        <v>17</v>
      </c>
      <c r="B19" t="s">
        <v>3</v>
      </c>
      <c r="C19" s="7">
        <v>3</v>
      </c>
      <c r="D19">
        <f t="shared" si="0"/>
        <v>0.6</v>
      </c>
      <c r="E19">
        <f t="shared" si="2"/>
        <v>0.36190476190476184</v>
      </c>
      <c r="F19">
        <f t="shared" si="1"/>
        <v>1.0066321999650285</v>
      </c>
      <c r="G19">
        <f t="shared" si="3"/>
        <v>0</v>
      </c>
      <c r="H19">
        <f t="shared" si="4"/>
        <v>0.79172305394493958</v>
      </c>
      <c r="I19">
        <f t="shared" si="5"/>
        <v>0</v>
      </c>
      <c r="J19">
        <f t="shared" si="6"/>
        <v>0.57681390792485077</v>
      </c>
      <c r="K19">
        <f t="shared" si="7"/>
        <v>0.14699561588467294</v>
      </c>
      <c r="U19">
        <f t="shared" si="8"/>
        <v>1.8095238095238093</v>
      </c>
      <c r="V19">
        <f t="shared" si="9"/>
        <v>5.8450800643311052</v>
      </c>
      <c r="W19">
        <f t="shared" si="10"/>
        <v>0</v>
      </c>
      <c r="X19">
        <f t="shared" si="11"/>
        <v>4.4998946460620068</v>
      </c>
      <c r="Y19">
        <f t="shared" si="12"/>
        <v>0</v>
      </c>
    </row>
    <row r="20" spans="1:25" x14ac:dyDescent="0.3">
      <c r="A20" s="1">
        <v>18</v>
      </c>
      <c r="B20" t="s">
        <v>3</v>
      </c>
      <c r="C20" s="7">
        <v>3</v>
      </c>
      <c r="D20">
        <f t="shared" si="0"/>
        <v>0.6</v>
      </c>
      <c r="E20">
        <f t="shared" si="2"/>
        <v>0.36190476190476184</v>
      </c>
      <c r="F20">
        <f t="shared" si="1"/>
        <v>1.0066321999650285</v>
      </c>
      <c r="G20">
        <f t="shared" si="3"/>
        <v>0</v>
      </c>
      <c r="H20">
        <f t="shared" si="4"/>
        <v>0.79172305394493958</v>
      </c>
      <c r="I20">
        <f t="shared" si="5"/>
        <v>0</v>
      </c>
      <c r="J20">
        <f t="shared" si="6"/>
        <v>0.57681390792485077</v>
      </c>
      <c r="K20">
        <f t="shared" si="7"/>
        <v>0.14699561588467294</v>
      </c>
      <c r="U20">
        <f t="shared" si="8"/>
        <v>1.8095238095238093</v>
      </c>
      <c r="V20">
        <f t="shared" si="9"/>
        <v>5.8450800643311052</v>
      </c>
      <c r="W20">
        <f t="shared" si="10"/>
        <v>0</v>
      </c>
      <c r="X20">
        <f t="shared" si="11"/>
        <v>4.4998946460620068</v>
      </c>
      <c r="Y20">
        <f t="shared" si="12"/>
        <v>0</v>
      </c>
    </row>
    <row r="21" spans="1:25" x14ac:dyDescent="0.3">
      <c r="A21" s="1">
        <v>19</v>
      </c>
      <c r="B21" t="s">
        <v>4</v>
      </c>
      <c r="C21" s="9">
        <v>0</v>
      </c>
      <c r="D21">
        <f t="shared" si="0"/>
        <v>0</v>
      </c>
      <c r="E21">
        <f t="shared" si="2"/>
        <v>0.36190476190476184</v>
      </c>
      <c r="F21">
        <f t="shared" si="1"/>
        <v>1.0066321999650285</v>
      </c>
      <c r="G21">
        <f t="shared" si="3"/>
        <v>0</v>
      </c>
      <c r="H21">
        <f t="shared" si="4"/>
        <v>0.79172305394493958</v>
      </c>
      <c r="I21">
        <f t="shared" si="5"/>
        <v>0</v>
      </c>
      <c r="J21">
        <f t="shared" si="6"/>
        <v>0.57681390792485077</v>
      </c>
      <c r="K21">
        <f t="shared" si="7"/>
        <v>0.14699561588467294</v>
      </c>
      <c r="U21">
        <f t="shared" si="8"/>
        <v>1.8095238095238093</v>
      </c>
      <c r="V21">
        <f t="shared" si="9"/>
        <v>5.8450800643311052</v>
      </c>
      <c r="W21">
        <f t="shared" si="10"/>
        <v>0</v>
      </c>
      <c r="X21">
        <f t="shared" si="11"/>
        <v>4.4998946460620068</v>
      </c>
      <c r="Y21">
        <f t="shared" si="12"/>
        <v>0</v>
      </c>
    </row>
    <row r="22" spans="1:25" x14ac:dyDescent="0.3">
      <c r="A22" s="1">
        <v>20</v>
      </c>
      <c r="B22" t="s">
        <v>4</v>
      </c>
      <c r="C22" s="9">
        <v>0</v>
      </c>
      <c r="D22">
        <f t="shared" si="0"/>
        <v>0</v>
      </c>
      <c r="E22">
        <f t="shared" si="2"/>
        <v>0.36190476190476184</v>
      </c>
      <c r="F22">
        <f t="shared" si="1"/>
        <v>1.0066321999650285</v>
      </c>
      <c r="G22">
        <f t="shared" si="3"/>
        <v>0</v>
      </c>
      <c r="H22">
        <f t="shared" si="4"/>
        <v>0.79172305394493958</v>
      </c>
      <c r="I22">
        <f t="shared" si="5"/>
        <v>0</v>
      </c>
      <c r="J22">
        <f t="shared" si="6"/>
        <v>0.57681390792485077</v>
      </c>
      <c r="K22">
        <f t="shared" si="7"/>
        <v>0.14699561588467294</v>
      </c>
      <c r="U22">
        <f t="shared" si="8"/>
        <v>1.8095238095238093</v>
      </c>
      <c r="V22">
        <f t="shared" si="9"/>
        <v>5.8450800643311052</v>
      </c>
      <c r="W22">
        <f t="shared" si="10"/>
        <v>0</v>
      </c>
      <c r="X22">
        <f t="shared" si="11"/>
        <v>4.4998946460620068</v>
      </c>
      <c r="Y22">
        <f t="shared" si="12"/>
        <v>0</v>
      </c>
    </row>
    <row r="23" spans="1:25" x14ac:dyDescent="0.3">
      <c r="A23" s="1">
        <v>21</v>
      </c>
      <c r="B23" t="s">
        <v>4</v>
      </c>
      <c r="C23" s="9">
        <v>0</v>
      </c>
      <c r="D23">
        <f t="shared" si="0"/>
        <v>0</v>
      </c>
      <c r="E23">
        <f t="shared" si="2"/>
        <v>0.36190476190476184</v>
      </c>
      <c r="F23">
        <f t="shared" si="1"/>
        <v>1.0066321999650285</v>
      </c>
      <c r="G23">
        <f t="shared" si="3"/>
        <v>0</v>
      </c>
      <c r="H23">
        <f t="shared" si="4"/>
        <v>0.79172305394493958</v>
      </c>
      <c r="I23">
        <f t="shared" si="5"/>
        <v>0</v>
      </c>
      <c r="J23">
        <f t="shared" si="6"/>
        <v>0.57681390792485077</v>
      </c>
      <c r="K23">
        <f t="shared" si="7"/>
        <v>0.14699561588467294</v>
      </c>
      <c r="U23">
        <f t="shared" si="8"/>
        <v>1.8095238095238093</v>
      </c>
      <c r="V23">
        <f t="shared" si="9"/>
        <v>5.8450800643311052</v>
      </c>
      <c r="W23">
        <f t="shared" si="10"/>
        <v>0</v>
      </c>
      <c r="X23">
        <f t="shared" si="11"/>
        <v>4.4998946460620068</v>
      </c>
      <c r="Y23">
        <f t="shared" si="12"/>
        <v>0</v>
      </c>
    </row>
    <row r="24" spans="1:25" x14ac:dyDescent="0.3">
      <c r="A24" s="1">
        <v>22</v>
      </c>
      <c r="B24" t="s">
        <v>4</v>
      </c>
      <c r="C24" s="9">
        <v>0</v>
      </c>
      <c r="D24">
        <f t="shared" si="0"/>
        <v>0</v>
      </c>
      <c r="E24">
        <f t="shared" si="2"/>
        <v>0.36190476190476184</v>
      </c>
      <c r="F24">
        <f t="shared" si="1"/>
        <v>1.0066321999650285</v>
      </c>
      <c r="G24">
        <f t="shared" si="3"/>
        <v>0</v>
      </c>
      <c r="H24">
        <f t="shared" si="4"/>
        <v>0.79172305394493958</v>
      </c>
      <c r="I24">
        <f t="shared" si="5"/>
        <v>0</v>
      </c>
      <c r="J24">
        <f t="shared" si="6"/>
        <v>0.57681390792485077</v>
      </c>
      <c r="K24">
        <f t="shared" si="7"/>
        <v>0.14699561588467294</v>
      </c>
      <c r="U24">
        <f t="shared" si="8"/>
        <v>1.8095238095238093</v>
      </c>
      <c r="V24">
        <f t="shared" si="9"/>
        <v>5.8450800643311052</v>
      </c>
      <c r="W24">
        <f t="shared" si="10"/>
        <v>0</v>
      </c>
      <c r="X24">
        <f t="shared" si="11"/>
        <v>4.4998946460620068</v>
      </c>
      <c r="Y24">
        <f t="shared" si="12"/>
        <v>0</v>
      </c>
    </row>
    <row r="25" spans="1:25" x14ac:dyDescent="0.3">
      <c r="A25" s="1">
        <v>23</v>
      </c>
      <c r="B25" t="s">
        <v>4</v>
      </c>
      <c r="C25" s="9">
        <v>0</v>
      </c>
      <c r="D25">
        <f t="shared" si="0"/>
        <v>0</v>
      </c>
      <c r="E25">
        <f t="shared" si="2"/>
        <v>0.36190476190476184</v>
      </c>
      <c r="F25">
        <f t="shared" si="1"/>
        <v>1.0066321999650285</v>
      </c>
      <c r="G25">
        <f t="shared" si="3"/>
        <v>0</v>
      </c>
      <c r="H25">
        <f t="shared" si="4"/>
        <v>0.79172305394493958</v>
      </c>
      <c r="I25">
        <f t="shared" si="5"/>
        <v>0</v>
      </c>
      <c r="J25">
        <f t="shared" si="6"/>
        <v>0.57681390792485077</v>
      </c>
      <c r="K25">
        <f t="shared" si="7"/>
        <v>0.14699561588467294</v>
      </c>
      <c r="U25">
        <f t="shared" si="8"/>
        <v>1.8095238095238093</v>
      </c>
      <c r="V25">
        <f t="shared" si="9"/>
        <v>5.8450800643311052</v>
      </c>
      <c r="W25">
        <f t="shared" si="10"/>
        <v>0</v>
      </c>
      <c r="X25">
        <f t="shared" si="11"/>
        <v>4.4998946460620068</v>
      </c>
      <c r="Y25">
        <f t="shared" si="12"/>
        <v>0</v>
      </c>
    </row>
    <row r="26" spans="1:25" x14ac:dyDescent="0.3">
      <c r="A26" s="1">
        <v>24</v>
      </c>
      <c r="B26" t="s">
        <v>4</v>
      </c>
      <c r="C26" s="9">
        <v>0</v>
      </c>
      <c r="D26">
        <f t="shared" si="0"/>
        <v>0</v>
      </c>
      <c r="E26">
        <f t="shared" si="2"/>
        <v>0.36190476190476184</v>
      </c>
      <c r="F26">
        <f t="shared" si="1"/>
        <v>1.0066321999650285</v>
      </c>
      <c r="G26">
        <f t="shared" si="3"/>
        <v>0</v>
      </c>
      <c r="H26">
        <f t="shared" si="4"/>
        <v>0.79172305394493958</v>
      </c>
      <c r="I26">
        <f t="shared" si="5"/>
        <v>0</v>
      </c>
      <c r="J26">
        <f t="shared" si="6"/>
        <v>0.57681390792485077</v>
      </c>
      <c r="K26">
        <f t="shared" si="7"/>
        <v>0.14699561588467294</v>
      </c>
      <c r="U26">
        <f t="shared" si="8"/>
        <v>1.8095238095238093</v>
      </c>
      <c r="V26">
        <f t="shared" si="9"/>
        <v>5.8450800643311052</v>
      </c>
      <c r="W26">
        <f t="shared" si="10"/>
        <v>0</v>
      </c>
      <c r="X26">
        <f t="shared" si="11"/>
        <v>4.4998946460620068</v>
      </c>
      <c r="Y26">
        <f t="shared" si="12"/>
        <v>0</v>
      </c>
    </row>
    <row r="27" spans="1:25" x14ac:dyDescent="0.3">
      <c r="A27" s="1">
        <v>25</v>
      </c>
      <c r="B27" t="s">
        <v>5</v>
      </c>
      <c r="C27" s="11">
        <v>3</v>
      </c>
      <c r="D27">
        <f t="shared" si="0"/>
        <v>0.6</v>
      </c>
      <c r="E27">
        <f t="shared" si="2"/>
        <v>0.36190476190476184</v>
      </c>
      <c r="F27">
        <f t="shared" si="1"/>
        <v>1.0066321999650285</v>
      </c>
      <c r="G27">
        <f t="shared" si="3"/>
        <v>0</v>
      </c>
      <c r="H27">
        <f t="shared" si="4"/>
        <v>0.79172305394493958</v>
      </c>
      <c r="I27">
        <f t="shared" si="5"/>
        <v>0</v>
      </c>
      <c r="J27">
        <f t="shared" si="6"/>
        <v>0.57681390792485077</v>
      </c>
      <c r="K27">
        <f t="shared" si="7"/>
        <v>0.14699561588467294</v>
      </c>
      <c r="U27">
        <f t="shared" si="8"/>
        <v>1.8095238095238093</v>
      </c>
      <c r="V27">
        <f t="shared" si="9"/>
        <v>5.8450800643311052</v>
      </c>
      <c r="W27">
        <f t="shared" si="10"/>
        <v>0</v>
      </c>
      <c r="X27">
        <f t="shared" si="11"/>
        <v>4.4998946460620068</v>
      </c>
      <c r="Y27">
        <f t="shared" si="12"/>
        <v>0</v>
      </c>
    </row>
    <row r="28" spans="1:25" x14ac:dyDescent="0.3">
      <c r="A28" s="1">
        <v>26</v>
      </c>
      <c r="B28" t="s">
        <v>5</v>
      </c>
      <c r="C28" s="11">
        <v>2</v>
      </c>
      <c r="D28">
        <f t="shared" si="0"/>
        <v>0.4</v>
      </c>
      <c r="E28">
        <f t="shared" si="2"/>
        <v>0.36190476190476184</v>
      </c>
      <c r="F28">
        <f t="shared" si="1"/>
        <v>1.0066321999650285</v>
      </c>
      <c r="G28">
        <f t="shared" si="3"/>
        <v>0</v>
      </c>
      <c r="H28">
        <f t="shared" si="4"/>
        <v>0.79172305394493958</v>
      </c>
      <c r="I28">
        <f t="shared" si="5"/>
        <v>0</v>
      </c>
      <c r="J28">
        <f t="shared" si="6"/>
        <v>0.57681390792485077</v>
      </c>
      <c r="K28">
        <f t="shared" si="7"/>
        <v>0.14699561588467294</v>
      </c>
      <c r="U28">
        <f t="shared" si="8"/>
        <v>1.8095238095238093</v>
      </c>
      <c r="V28">
        <f t="shared" si="9"/>
        <v>5.8450800643311052</v>
      </c>
      <c r="W28">
        <f t="shared" si="10"/>
        <v>0</v>
      </c>
      <c r="X28">
        <f t="shared" si="11"/>
        <v>4.4998946460620068</v>
      </c>
      <c r="Y28">
        <f t="shared" si="12"/>
        <v>0</v>
      </c>
    </row>
    <row r="29" spans="1:25" x14ac:dyDescent="0.3">
      <c r="A29" s="1">
        <v>27</v>
      </c>
      <c r="B29" t="s">
        <v>5</v>
      </c>
      <c r="C29" s="11">
        <v>2</v>
      </c>
      <c r="D29">
        <f t="shared" si="0"/>
        <v>0.4</v>
      </c>
      <c r="E29">
        <f t="shared" si="2"/>
        <v>0.36190476190476184</v>
      </c>
      <c r="F29">
        <f t="shared" si="1"/>
        <v>1.0066321999650285</v>
      </c>
      <c r="G29">
        <f t="shared" si="3"/>
        <v>0</v>
      </c>
      <c r="H29">
        <f t="shared" si="4"/>
        <v>0.79172305394493958</v>
      </c>
      <c r="I29">
        <f t="shared" si="5"/>
        <v>0</v>
      </c>
      <c r="J29">
        <f t="shared" si="6"/>
        <v>0.57681390792485077</v>
      </c>
      <c r="K29">
        <f t="shared" si="7"/>
        <v>0.14699561588467294</v>
      </c>
      <c r="U29">
        <f t="shared" si="8"/>
        <v>1.8095238095238093</v>
      </c>
      <c r="V29">
        <f t="shared" si="9"/>
        <v>5.8450800643311052</v>
      </c>
      <c r="W29">
        <f t="shared" si="10"/>
        <v>0</v>
      </c>
      <c r="X29">
        <f t="shared" si="11"/>
        <v>4.4998946460620068</v>
      </c>
      <c r="Y29">
        <f t="shared" si="12"/>
        <v>0</v>
      </c>
    </row>
    <row r="30" spans="1:25" x14ac:dyDescent="0.3">
      <c r="A30" s="1">
        <v>28</v>
      </c>
      <c r="B30" t="s">
        <v>5</v>
      </c>
      <c r="C30" s="11">
        <v>3</v>
      </c>
      <c r="D30">
        <f t="shared" si="0"/>
        <v>0.6</v>
      </c>
      <c r="E30">
        <f t="shared" si="2"/>
        <v>0.36190476190476184</v>
      </c>
      <c r="F30">
        <f t="shared" si="1"/>
        <v>1.0066321999650285</v>
      </c>
      <c r="G30">
        <f t="shared" si="3"/>
        <v>0</v>
      </c>
      <c r="H30">
        <f t="shared" si="4"/>
        <v>0.79172305394493958</v>
      </c>
      <c r="I30">
        <f t="shared" si="5"/>
        <v>0</v>
      </c>
      <c r="J30">
        <f t="shared" si="6"/>
        <v>0.57681390792485077</v>
      </c>
      <c r="K30">
        <f t="shared" si="7"/>
        <v>0.14699561588467294</v>
      </c>
      <c r="U30">
        <f t="shared" si="8"/>
        <v>1.8095238095238093</v>
      </c>
      <c r="V30">
        <f t="shared" si="9"/>
        <v>5.8450800643311052</v>
      </c>
      <c r="W30">
        <f t="shared" si="10"/>
        <v>0</v>
      </c>
      <c r="X30">
        <f t="shared" si="11"/>
        <v>4.4998946460620068</v>
      </c>
      <c r="Y30">
        <f t="shared" si="12"/>
        <v>0</v>
      </c>
    </row>
    <row r="31" spans="1:25" x14ac:dyDescent="0.3">
      <c r="A31" s="1">
        <v>29</v>
      </c>
      <c r="B31" t="s">
        <v>5</v>
      </c>
      <c r="C31" s="11">
        <v>3</v>
      </c>
      <c r="D31">
        <f t="shared" si="0"/>
        <v>0.6</v>
      </c>
      <c r="E31">
        <f t="shared" si="2"/>
        <v>0.36190476190476184</v>
      </c>
      <c r="F31">
        <f t="shared" si="1"/>
        <v>1.0066321999650285</v>
      </c>
      <c r="G31">
        <f t="shared" si="3"/>
        <v>0</v>
      </c>
      <c r="H31">
        <f t="shared" si="4"/>
        <v>0.79172305394493958</v>
      </c>
      <c r="I31">
        <f t="shared" si="5"/>
        <v>0</v>
      </c>
      <c r="J31">
        <f t="shared" si="6"/>
        <v>0.57681390792485077</v>
      </c>
      <c r="K31">
        <f t="shared" si="7"/>
        <v>0.14699561588467294</v>
      </c>
      <c r="U31">
        <f t="shared" si="8"/>
        <v>1.8095238095238093</v>
      </c>
      <c r="V31">
        <f t="shared" si="9"/>
        <v>5.8450800643311052</v>
      </c>
      <c r="W31">
        <f t="shared" si="10"/>
        <v>0</v>
      </c>
      <c r="X31">
        <f t="shared" si="11"/>
        <v>4.4998946460620068</v>
      </c>
      <c r="Y31">
        <f t="shared" si="12"/>
        <v>0</v>
      </c>
    </row>
    <row r="32" spans="1:25" x14ac:dyDescent="0.3">
      <c r="A32" s="1">
        <v>30</v>
      </c>
      <c r="B32" t="s">
        <v>5</v>
      </c>
      <c r="C32" s="11">
        <v>2</v>
      </c>
      <c r="D32">
        <f t="shared" si="0"/>
        <v>0.4</v>
      </c>
      <c r="E32">
        <f t="shared" si="2"/>
        <v>0.36190476190476184</v>
      </c>
      <c r="F32">
        <f t="shared" si="1"/>
        <v>1.0066321999650285</v>
      </c>
      <c r="G32">
        <f t="shared" si="3"/>
        <v>0</v>
      </c>
      <c r="H32">
        <f t="shared" si="4"/>
        <v>0.79172305394493958</v>
      </c>
      <c r="I32">
        <f t="shared" si="5"/>
        <v>0</v>
      </c>
      <c r="J32">
        <f t="shared" si="6"/>
        <v>0.57681390792485077</v>
      </c>
      <c r="K32">
        <f t="shared" si="7"/>
        <v>0.14699561588467294</v>
      </c>
      <c r="U32">
        <f t="shared" si="8"/>
        <v>1.8095238095238093</v>
      </c>
      <c r="V32">
        <f t="shared" si="9"/>
        <v>5.8450800643311052</v>
      </c>
      <c r="W32">
        <f t="shared" si="10"/>
        <v>0</v>
      </c>
      <c r="X32">
        <f t="shared" si="11"/>
        <v>4.4998946460620068</v>
      </c>
      <c r="Y32">
        <f t="shared" si="12"/>
        <v>0</v>
      </c>
    </row>
    <row r="33" spans="1:25" x14ac:dyDescent="0.3">
      <c r="A33" s="1">
        <v>31</v>
      </c>
      <c r="B33" t="s">
        <v>6</v>
      </c>
      <c r="C33" s="13">
        <v>0</v>
      </c>
      <c r="D33">
        <f t="shared" si="0"/>
        <v>0</v>
      </c>
      <c r="E33">
        <f t="shared" si="2"/>
        <v>0.36190476190476184</v>
      </c>
      <c r="F33">
        <f t="shared" si="1"/>
        <v>1.0066321999650285</v>
      </c>
      <c r="G33">
        <f t="shared" si="3"/>
        <v>0</v>
      </c>
      <c r="H33">
        <f t="shared" si="4"/>
        <v>0.79172305394493958</v>
      </c>
      <c r="I33">
        <f t="shared" si="5"/>
        <v>0</v>
      </c>
      <c r="J33">
        <f t="shared" si="6"/>
        <v>0.57681390792485077</v>
      </c>
      <c r="K33">
        <f t="shared" si="7"/>
        <v>0.14699561588467294</v>
      </c>
      <c r="U33">
        <f t="shared" si="8"/>
        <v>1.8095238095238093</v>
      </c>
      <c r="V33">
        <f t="shared" si="9"/>
        <v>5.8450800643311052</v>
      </c>
      <c r="W33">
        <f t="shared" si="10"/>
        <v>0</v>
      </c>
      <c r="X33">
        <f t="shared" si="11"/>
        <v>4.4998946460620068</v>
      </c>
      <c r="Y33">
        <f t="shared" si="12"/>
        <v>0</v>
      </c>
    </row>
    <row r="34" spans="1:25" x14ac:dyDescent="0.3">
      <c r="A34" s="1">
        <v>32</v>
      </c>
      <c r="B34" t="s">
        <v>6</v>
      </c>
      <c r="C34" s="13">
        <v>0</v>
      </c>
      <c r="D34">
        <f t="shared" si="0"/>
        <v>0</v>
      </c>
      <c r="E34">
        <f t="shared" si="2"/>
        <v>0.36190476190476184</v>
      </c>
      <c r="F34">
        <f t="shared" si="1"/>
        <v>1.0066321999650285</v>
      </c>
      <c r="G34">
        <f t="shared" si="3"/>
        <v>0</v>
      </c>
      <c r="H34">
        <f t="shared" si="4"/>
        <v>0.79172305394493958</v>
      </c>
      <c r="I34">
        <f t="shared" si="5"/>
        <v>0</v>
      </c>
      <c r="J34">
        <f t="shared" si="6"/>
        <v>0.57681390792485077</v>
      </c>
      <c r="K34">
        <f t="shared" si="7"/>
        <v>0.14699561588467294</v>
      </c>
      <c r="U34">
        <f t="shared" si="8"/>
        <v>1.8095238095238093</v>
      </c>
      <c r="V34">
        <f t="shared" si="9"/>
        <v>5.8450800643311052</v>
      </c>
      <c r="W34">
        <f t="shared" si="10"/>
        <v>0</v>
      </c>
      <c r="X34">
        <f t="shared" si="11"/>
        <v>4.4998946460620068</v>
      </c>
      <c r="Y34">
        <f t="shared" si="12"/>
        <v>0</v>
      </c>
    </row>
    <row r="35" spans="1:25" x14ac:dyDescent="0.3">
      <c r="A35" s="1">
        <v>33</v>
      </c>
      <c r="B35" t="s">
        <v>6</v>
      </c>
      <c r="C35" s="13">
        <v>0</v>
      </c>
      <c r="D35">
        <f t="shared" si="0"/>
        <v>0</v>
      </c>
      <c r="E35">
        <f t="shared" si="2"/>
        <v>0.36190476190476184</v>
      </c>
      <c r="F35">
        <f t="shared" si="1"/>
        <v>1.0066321999650285</v>
      </c>
      <c r="G35">
        <f t="shared" si="3"/>
        <v>0</v>
      </c>
      <c r="H35">
        <f t="shared" si="4"/>
        <v>0.79172305394493958</v>
      </c>
      <c r="I35">
        <f t="shared" si="5"/>
        <v>0</v>
      </c>
      <c r="J35">
        <f t="shared" si="6"/>
        <v>0.57681390792485077</v>
      </c>
      <c r="K35">
        <f t="shared" si="7"/>
        <v>0.14699561588467294</v>
      </c>
      <c r="U35">
        <f t="shared" si="8"/>
        <v>1.8095238095238093</v>
      </c>
      <c r="V35">
        <f t="shared" si="9"/>
        <v>5.8450800643311052</v>
      </c>
      <c r="W35">
        <f t="shared" si="10"/>
        <v>0</v>
      </c>
      <c r="X35">
        <f t="shared" si="11"/>
        <v>4.4998946460620068</v>
      </c>
      <c r="Y35">
        <f t="shared" si="12"/>
        <v>0</v>
      </c>
    </row>
    <row r="36" spans="1:25" x14ac:dyDescent="0.3">
      <c r="A36" s="1">
        <v>34</v>
      </c>
      <c r="B36" t="s">
        <v>6</v>
      </c>
      <c r="C36" s="13">
        <v>0</v>
      </c>
      <c r="D36">
        <f t="shared" si="0"/>
        <v>0</v>
      </c>
      <c r="E36">
        <f t="shared" si="2"/>
        <v>0.36190476190476184</v>
      </c>
      <c r="F36">
        <f t="shared" si="1"/>
        <v>1.0066321999650285</v>
      </c>
      <c r="G36">
        <f t="shared" si="3"/>
        <v>0</v>
      </c>
      <c r="H36">
        <f t="shared" si="4"/>
        <v>0.79172305394493958</v>
      </c>
      <c r="I36">
        <f t="shared" si="5"/>
        <v>0</v>
      </c>
      <c r="J36">
        <f t="shared" si="6"/>
        <v>0.57681390792485077</v>
      </c>
      <c r="K36">
        <f t="shared" si="7"/>
        <v>0.14699561588467294</v>
      </c>
      <c r="U36">
        <f t="shared" si="8"/>
        <v>1.8095238095238093</v>
      </c>
      <c r="V36">
        <f t="shared" si="9"/>
        <v>5.8450800643311052</v>
      </c>
      <c r="W36">
        <f t="shared" si="10"/>
        <v>0</v>
      </c>
      <c r="X36">
        <f t="shared" si="11"/>
        <v>4.4998946460620068</v>
      </c>
      <c r="Y36">
        <f t="shared" si="12"/>
        <v>0</v>
      </c>
    </row>
    <row r="37" spans="1:25" x14ac:dyDescent="0.3">
      <c r="A37" s="1">
        <v>35</v>
      </c>
      <c r="B37" t="s">
        <v>6</v>
      </c>
      <c r="C37" s="13">
        <v>0</v>
      </c>
      <c r="D37">
        <f t="shared" si="0"/>
        <v>0</v>
      </c>
      <c r="E37">
        <f t="shared" si="2"/>
        <v>0.36190476190476184</v>
      </c>
      <c r="F37">
        <f t="shared" si="1"/>
        <v>1.0066321999650285</v>
      </c>
      <c r="G37">
        <f t="shared" si="3"/>
        <v>0</v>
      </c>
      <c r="H37">
        <f t="shared" si="4"/>
        <v>0.79172305394493958</v>
      </c>
      <c r="I37">
        <f t="shared" si="5"/>
        <v>0</v>
      </c>
      <c r="J37">
        <f t="shared" si="6"/>
        <v>0.57681390792485077</v>
      </c>
      <c r="K37">
        <f t="shared" si="7"/>
        <v>0.14699561588467294</v>
      </c>
      <c r="U37">
        <f t="shared" si="8"/>
        <v>1.8095238095238093</v>
      </c>
      <c r="V37">
        <f t="shared" si="9"/>
        <v>5.8450800643311052</v>
      </c>
      <c r="W37">
        <f t="shared" si="10"/>
        <v>0</v>
      </c>
      <c r="X37">
        <f t="shared" si="11"/>
        <v>4.4998946460620068</v>
      </c>
      <c r="Y37">
        <f t="shared" si="12"/>
        <v>0</v>
      </c>
    </row>
    <row r="38" spans="1:25" x14ac:dyDescent="0.3">
      <c r="A38" s="1">
        <v>36</v>
      </c>
      <c r="B38" t="s">
        <v>6</v>
      </c>
      <c r="C38" s="13">
        <v>0</v>
      </c>
      <c r="D38">
        <f t="shared" si="0"/>
        <v>0</v>
      </c>
      <c r="E38">
        <f t="shared" si="2"/>
        <v>0.36190476190476184</v>
      </c>
      <c r="F38">
        <f t="shared" si="1"/>
        <v>1.0066321999650285</v>
      </c>
      <c r="G38">
        <f t="shared" si="3"/>
        <v>0</v>
      </c>
      <c r="H38">
        <f t="shared" si="4"/>
        <v>0.79172305394493958</v>
      </c>
      <c r="I38">
        <f t="shared" si="5"/>
        <v>0</v>
      </c>
      <c r="J38">
        <f t="shared" si="6"/>
        <v>0.57681390792485077</v>
      </c>
      <c r="K38">
        <f t="shared" si="7"/>
        <v>0.14699561588467294</v>
      </c>
      <c r="U38">
        <f t="shared" si="8"/>
        <v>1.8095238095238093</v>
      </c>
      <c r="V38">
        <f t="shared" si="9"/>
        <v>5.8450800643311052</v>
      </c>
      <c r="W38">
        <f t="shared" si="10"/>
        <v>0</v>
      </c>
      <c r="X38">
        <f t="shared" si="11"/>
        <v>4.4998946460620068</v>
      </c>
      <c r="Y38">
        <f t="shared" si="12"/>
        <v>0</v>
      </c>
    </row>
    <row r="39" spans="1:25" x14ac:dyDescent="0.3">
      <c r="A39" s="1">
        <v>37</v>
      </c>
      <c r="B39" t="s">
        <v>7</v>
      </c>
      <c r="C39" s="15">
        <v>0</v>
      </c>
      <c r="D39">
        <f t="shared" si="0"/>
        <v>0</v>
      </c>
      <c r="E39">
        <f t="shared" si="2"/>
        <v>0.36190476190476184</v>
      </c>
      <c r="F39">
        <f t="shared" si="1"/>
        <v>1.0066321999650285</v>
      </c>
      <c r="G39">
        <f t="shared" si="3"/>
        <v>0</v>
      </c>
      <c r="H39">
        <f t="shared" si="4"/>
        <v>0.79172305394493958</v>
      </c>
      <c r="I39">
        <f t="shared" si="5"/>
        <v>0</v>
      </c>
      <c r="J39">
        <f t="shared" si="6"/>
        <v>0.57681390792485077</v>
      </c>
      <c r="K39">
        <f t="shared" si="7"/>
        <v>0.14699561588467294</v>
      </c>
      <c r="U39">
        <f t="shared" si="8"/>
        <v>1.8095238095238093</v>
      </c>
      <c r="V39">
        <f t="shared" si="9"/>
        <v>5.8450800643311052</v>
      </c>
      <c r="W39">
        <f t="shared" si="10"/>
        <v>0</v>
      </c>
      <c r="X39">
        <f t="shared" si="11"/>
        <v>4.4998946460620068</v>
      </c>
      <c r="Y39">
        <f t="shared" si="12"/>
        <v>0</v>
      </c>
    </row>
    <row r="40" spans="1:25" x14ac:dyDescent="0.3">
      <c r="A40" s="1">
        <v>38</v>
      </c>
      <c r="B40" t="s">
        <v>7</v>
      </c>
      <c r="C40" s="15">
        <v>2</v>
      </c>
      <c r="D40">
        <f t="shared" si="0"/>
        <v>0.4</v>
      </c>
      <c r="E40">
        <f t="shared" si="2"/>
        <v>0.36190476190476184</v>
      </c>
      <c r="F40">
        <f t="shared" si="1"/>
        <v>1.0066321999650285</v>
      </c>
      <c r="G40">
        <f t="shared" si="3"/>
        <v>0</v>
      </c>
      <c r="H40">
        <f t="shared" si="4"/>
        <v>0.79172305394493958</v>
      </c>
      <c r="I40">
        <f t="shared" si="5"/>
        <v>0</v>
      </c>
      <c r="J40">
        <f t="shared" si="6"/>
        <v>0.57681390792485077</v>
      </c>
      <c r="K40">
        <f t="shared" si="7"/>
        <v>0.14699561588467294</v>
      </c>
      <c r="U40">
        <f t="shared" si="8"/>
        <v>1.8095238095238093</v>
      </c>
      <c r="V40">
        <f t="shared" si="9"/>
        <v>5.8450800643311052</v>
      </c>
      <c r="W40">
        <f t="shared" si="10"/>
        <v>0</v>
      </c>
      <c r="X40">
        <f t="shared" si="11"/>
        <v>4.4998946460620068</v>
      </c>
      <c r="Y40">
        <f t="shared" si="12"/>
        <v>0</v>
      </c>
    </row>
    <row r="41" spans="1:25" x14ac:dyDescent="0.3">
      <c r="A41" s="1">
        <v>39</v>
      </c>
      <c r="B41" t="s">
        <v>7</v>
      </c>
      <c r="C41" s="15">
        <v>4</v>
      </c>
      <c r="D41">
        <f t="shared" si="0"/>
        <v>0.8</v>
      </c>
      <c r="E41">
        <f t="shared" si="2"/>
        <v>0.36190476190476184</v>
      </c>
      <c r="F41">
        <f t="shared" si="1"/>
        <v>1.0066321999650285</v>
      </c>
      <c r="G41">
        <f t="shared" si="3"/>
        <v>0</v>
      </c>
      <c r="H41">
        <f t="shared" si="4"/>
        <v>0.79172305394493958</v>
      </c>
      <c r="I41">
        <f t="shared" si="5"/>
        <v>0</v>
      </c>
      <c r="J41">
        <f t="shared" si="6"/>
        <v>0.57681390792485077</v>
      </c>
      <c r="K41">
        <f t="shared" si="7"/>
        <v>0.14699561588467294</v>
      </c>
      <c r="U41">
        <f t="shared" si="8"/>
        <v>1.8095238095238093</v>
      </c>
      <c r="V41">
        <f t="shared" si="9"/>
        <v>5.8450800643311052</v>
      </c>
      <c r="W41">
        <f t="shared" si="10"/>
        <v>0</v>
      </c>
      <c r="X41">
        <f t="shared" si="11"/>
        <v>4.4998946460620068</v>
      </c>
      <c r="Y41">
        <f t="shared" si="12"/>
        <v>0</v>
      </c>
    </row>
    <row r="42" spans="1:25" x14ac:dyDescent="0.3">
      <c r="A42" s="1">
        <v>40</v>
      </c>
      <c r="B42" t="s">
        <v>7</v>
      </c>
      <c r="C42" s="15">
        <v>1</v>
      </c>
      <c r="D42">
        <f t="shared" si="0"/>
        <v>0.2</v>
      </c>
      <c r="E42">
        <f t="shared" si="2"/>
        <v>0.36190476190476184</v>
      </c>
      <c r="F42">
        <f t="shared" si="1"/>
        <v>1.0066321999650285</v>
      </c>
      <c r="G42">
        <f t="shared" si="3"/>
        <v>0</v>
      </c>
      <c r="H42">
        <f t="shared" si="4"/>
        <v>0.79172305394493958</v>
      </c>
      <c r="I42">
        <f t="shared" si="5"/>
        <v>0</v>
      </c>
      <c r="J42">
        <f t="shared" si="6"/>
        <v>0.57681390792485077</v>
      </c>
      <c r="K42">
        <f t="shared" si="7"/>
        <v>0.14699561588467294</v>
      </c>
      <c r="U42">
        <f t="shared" si="8"/>
        <v>1.8095238095238093</v>
      </c>
      <c r="V42">
        <f t="shared" si="9"/>
        <v>5.8450800643311052</v>
      </c>
      <c r="W42">
        <f t="shared" si="10"/>
        <v>0</v>
      </c>
      <c r="X42">
        <f t="shared" si="11"/>
        <v>4.4998946460620068</v>
      </c>
      <c r="Y42">
        <f t="shared" si="12"/>
        <v>0</v>
      </c>
    </row>
    <row r="43" spans="1:25" x14ac:dyDescent="0.3">
      <c r="A43" s="1">
        <v>41</v>
      </c>
      <c r="B43" t="s">
        <v>7</v>
      </c>
      <c r="C43" s="15">
        <v>3</v>
      </c>
      <c r="D43">
        <f t="shared" si="0"/>
        <v>0.6</v>
      </c>
      <c r="E43">
        <f t="shared" si="2"/>
        <v>0.36190476190476184</v>
      </c>
      <c r="F43">
        <f t="shared" si="1"/>
        <v>1.0066321999650285</v>
      </c>
      <c r="G43">
        <f t="shared" si="3"/>
        <v>0</v>
      </c>
      <c r="H43">
        <f t="shared" si="4"/>
        <v>0.79172305394493958</v>
      </c>
      <c r="I43">
        <f t="shared" si="5"/>
        <v>0</v>
      </c>
      <c r="J43">
        <f t="shared" si="6"/>
        <v>0.57681390792485077</v>
      </c>
      <c r="K43">
        <f t="shared" si="7"/>
        <v>0.14699561588467294</v>
      </c>
      <c r="U43">
        <f t="shared" si="8"/>
        <v>1.8095238095238093</v>
      </c>
      <c r="V43">
        <f t="shared" si="9"/>
        <v>5.8450800643311052</v>
      </c>
      <c r="W43">
        <f t="shared" si="10"/>
        <v>0</v>
      </c>
      <c r="X43">
        <f t="shared" si="11"/>
        <v>4.4998946460620068</v>
      </c>
      <c r="Y43">
        <f t="shared" si="12"/>
        <v>0</v>
      </c>
    </row>
    <row r="44" spans="1:25" x14ac:dyDescent="0.3">
      <c r="A44" s="1">
        <v>42</v>
      </c>
      <c r="B44" t="s">
        <v>7</v>
      </c>
      <c r="C44" s="15">
        <v>3</v>
      </c>
      <c r="D44">
        <f t="shared" si="0"/>
        <v>0.6</v>
      </c>
      <c r="E44">
        <f t="shared" si="2"/>
        <v>0.36190476190476184</v>
      </c>
      <c r="F44">
        <f t="shared" si="1"/>
        <v>1.0066321999650285</v>
      </c>
      <c r="G44">
        <f t="shared" si="3"/>
        <v>0</v>
      </c>
      <c r="H44">
        <f t="shared" si="4"/>
        <v>0.79172305394493958</v>
      </c>
      <c r="I44">
        <f t="shared" si="5"/>
        <v>0</v>
      </c>
      <c r="J44">
        <f t="shared" si="6"/>
        <v>0.57681390792485077</v>
      </c>
      <c r="K44">
        <f t="shared" si="7"/>
        <v>0.14699561588467294</v>
      </c>
      <c r="U44">
        <f t="shared" si="8"/>
        <v>1.8095238095238093</v>
      </c>
      <c r="V44">
        <f t="shared" si="9"/>
        <v>5.8450800643311052</v>
      </c>
      <c r="W44">
        <f t="shared" si="10"/>
        <v>0</v>
      </c>
      <c r="X44">
        <f t="shared" si="11"/>
        <v>4.4998946460620068</v>
      </c>
      <c r="Y44">
        <f t="shared" si="12"/>
        <v>0</v>
      </c>
    </row>
    <row r="45" spans="1:25" x14ac:dyDescent="0.3">
      <c r="D45">
        <f>AVERAGE(D3:D44)</f>
        <v>0.36190476190476184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BAD310-57B9-4875-AAA5-166CB9EBE613}">
  <dimension ref="A1:K30"/>
  <sheetViews>
    <sheetView workbookViewId="0">
      <selection activeCell="J2" sqref="J2:K3"/>
    </sheetView>
  </sheetViews>
  <sheetFormatPr defaultRowHeight="14.4" x14ac:dyDescent="0.3"/>
  <cols>
    <col min="1" max="1" width="7.44140625" style="1" bestFit="1" customWidth="1"/>
    <col min="2" max="2" width="9" bestFit="1" customWidth="1"/>
    <col min="10" max="10" width="18.88671875" bestFit="1" customWidth="1"/>
  </cols>
  <sheetData>
    <row r="1" spans="1:11" s="1" customFormat="1" x14ac:dyDescent="0.3">
      <c r="A1" s="17" t="s">
        <v>0</v>
      </c>
      <c r="B1" s="18" t="s">
        <v>4</v>
      </c>
      <c r="C1" s="19" t="s">
        <v>6</v>
      </c>
      <c r="D1" s="20" t="s">
        <v>7</v>
      </c>
      <c r="E1" s="21" t="s">
        <v>1</v>
      </c>
      <c r="F1" s="22" t="s">
        <v>2</v>
      </c>
      <c r="G1" s="23" t="s">
        <v>5</v>
      </c>
      <c r="H1" s="24" t="s">
        <v>3</v>
      </c>
    </row>
    <row r="2" spans="1:11" x14ac:dyDescent="0.3">
      <c r="A2" s="25">
        <v>1</v>
      </c>
      <c r="B2" s="9" t="s">
        <v>14</v>
      </c>
      <c r="C2" s="13" t="s">
        <v>14</v>
      </c>
      <c r="D2" s="15" t="s">
        <v>14</v>
      </c>
      <c r="E2" s="3" t="s">
        <v>12</v>
      </c>
      <c r="F2" s="5"/>
      <c r="G2" s="11"/>
      <c r="H2" s="26"/>
      <c r="J2" s="1" t="s">
        <v>11</v>
      </c>
      <c r="K2" t="s">
        <v>12</v>
      </c>
    </row>
    <row r="3" spans="1:11" x14ac:dyDescent="0.3">
      <c r="A3" s="25">
        <v>2</v>
      </c>
      <c r="B3" s="9" t="s">
        <v>14</v>
      </c>
      <c r="C3" s="13" t="s">
        <v>14</v>
      </c>
      <c r="D3" s="15" t="s">
        <v>12</v>
      </c>
      <c r="E3" s="3"/>
      <c r="F3" s="5"/>
      <c r="G3" s="11"/>
      <c r="H3" s="26"/>
      <c r="J3" s="1" t="s">
        <v>13</v>
      </c>
      <c r="K3" t="s">
        <v>14</v>
      </c>
    </row>
    <row r="4" spans="1:11" x14ac:dyDescent="0.3">
      <c r="A4" s="25">
        <v>3</v>
      </c>
      <c r="B4" s="9" t="s">
        <v>14</v>
      </c>
      <c r="C4" s="13" t="s">
        <v>14</v>
      </c>
      <c r="D4" s="15" t="s">
        <v>12</v>
      </c>
      <c r="E4" s="3"/>
      <c r="F4" s="5"/>
      <c r="G4" s="11"/>
      <c r="H4" s="26"/>
      <c r="J4" s="1" t="s">
        <v>17</v>
      </c>
      <c r="K4">
        <v>0</v>
      </c>
    </row>
    <row r="5" spans="1:11" x14ac:dyDescent="0.3">
      <c r="A5" s="25">
        <v>4</v>
      </c>
      <c r="B5" s="9" t="s">
        <v>14</v>
      </c>
      <c r="C5" s="13" t="s">
        <v>14</v>
      </c>
      <c r="D5" s="15" t="s">
        <v>12</v>
      </c>
      <c r="E5" s="3"/>
      <c r="F5" s="5"/>
      <c r="G5" s="11"/>
      <c r="H5" s="26"/>
      <c r="J5" s="1" t="s">
        <v>18</v>
      </c>
      <c r="K5" s="16">
        <v>0.30694444444444446</v>
      </c>
    </row>
    <row r="6" spans="1:11" x14ac:dyDescent="0.3">
      <c r="A6" s="25">
        <v>5</v>
      </c>
      <c r="B6" s="9" t="s">
        <v>14</v>
      </c>
      <c r="C6" s="13" t="s">
        <v>14</v>
      </c>
      <c r="D6" s="15" t="s">
        <v>14</v>
      </c>
      <c r="E6" s="3" t="s">
        <v>12</v>
      </c>
      <c r="F6" s="5"/>
      <c r="G6" s="11"/>
      <c r="H6" s="26"/>
    </row>
    <row r="7" spans="1:11" x14ac:dyDescent="0.3">
      <c r="A7" s="25">
        <v>6</v>
      </c>
      <c r="B7" s="9" t="s">
        <v>14</v>
      </c>
      <c r="C7" s="13" t="s">
        <v>14</v>
      </c>
      <c r="D7" s="15" t="s">
        <v>12</v>
      </c>
      <c r="E7" s="3"/>
      <c r="F7" s="5"/>
      <c r="G7" s="11"/>
      <c r="H7" s="26"/>
    </row>
    <row r="8" spans="1:11" x14ac:dyDescent="0.3">
      <c r="A8" s="25">
        <v>7</v>
      </c>
      <c r="B8" s="9" t="s">
        <v>14</v>
      </c>
      <c r="C8" s="13" t="s">
        <v>14</v>
      </c>
      <c r="D8" s="15" t="s">
        <v>14</v>
      </c>
      <c r="E8" s="3" t="s">
        <v>14</v>
      </c>
      <c r="F8" s="5" t="s">
        <v>14</v>
      </c>
      <c r="G8" s="11" t="s">
        <v>12</v>
      </c>
      <c r="H8" s="26"/>
    </row>
    <row r="9" spans="1:11" x14ac:dyDescent="0.3">
      <c r="A9" s="25">
        <v>8</v>
      </c>
      <c r="B9" s="9" t="s">
        <v>14</v>
      </c>
      <c r="C9" s="13" t="s">
        <v>14</v>
      </c>
      <c r="D9" s="15" t="s">
        <v>14</v>
      </c>
      <c r="E9" s="3" t="s">
        <v>14</v>
      </c>
      <c r="F9" s="5" t="s">
        <v>12</v>
      </c>
      <c r="G9" s="11"/>
      <c r="H9" s="26"/>
    </row>
    <row r="10" spans="1:11" x14ac:dyDescent="0.3">
      <c r="A10" s="25">
        <v>9</v>
      </c>
      <c r="B10" s="9" t="s">
        <v>14</v>
      </c>
      <c r="C10" s="13" t="s">
        <v>14</v>
      </c>
      <c r="D10" s="15" t="s">
        <v>14</v>
      </c>
      <c r="E10" s="3" t="s">
        <v>12</v>
      </c>
      <c r="F10" s="5"/>
      <c r="G10" s="11"/>
      <c r="H10" s="26"/>
    </row>
    <row r="11" spans="1:11" x14ac:dyDescent="0.3">
      <c r="A11" s="25">
        <v>10</v>
      </c>
      <c r="B11" s="9" t="s">
        <v>14</v>
      </c>
      <c r="C11" s="13" t="s">
        <v>14</v>
      </c>
      <c r="D11" s="15" t="s">
        <v>14</v>
      </c>
      <c r="E11" s="3" t="s">
        <v>12</v>
      </c>
      <c r="F11" s="5"/>
      <c r="G11" s="11"/>
      <c r="H11" s="26"/>
    </row>
    <row r="12" spans="1:11" x14ac:dyDescent="0.3">
      <c r="A12" s="25">
        <v>11</v>
      </c>
      <c r="B12" s="9" t="s">
        <v>14</v>
      </c>
      <c r="C12" s="13" t="s">
        <v>14</v>
      </c>
      <c r="D12" s="15" t="s">
        <v>14</v>
      </c>
      <c r="E12" s="3" t="s">
        <v>14</v>
      </c>
      <c r="F12" s="5" t="s">
        <v>12</v>
      </c>
      <c r="G12" s="11"/>
      <c r="H12" s="26"/>
    </row>
    <row r="13" spans="1:11" x14ac:dyDescent="0.3">
      <c r="A13" s="25">
        <v>12</v>
      </c>
      <c r="B13" s="9" t="s">
        <v>14</v>
      </c>
      <c r="C13" s="13" t="s">
        <v>14</v>
      </c>
      <c r="D13" s="15" t="s">
        <v>12</v>
      </c>
      <c r="E13" s="3"/>
      <c r="F13" s="5"/>
      <c r="G13" s="11"/>
      <c r="H13" s="26"/>
    </row>
    <row r="14" spans="1:11" x14ac:dyDescent="0.3">
      <c r="A14" s="25">
        <v>13</v>
      </c>
      <c r="B14" s="9" t="s">
        <v>14</v>
      </c>
      <c r="C14" s="13" t="s">
        <v>14</v>
      </c>
      <c r="D14" s="15" t="s">
        <v>14</v>
      </c>
      <c r="E14" s="3" t="s">
        <v>14</v>
      </c>
      <c r="F14" s="5" t="s">
        <v>14</v>
      </c>
      <c r="G14" s="11" t="s">
        <v>12</v>
      </c>
      <c r="H14" s="26"/>
    </row>
    <row r="15" spans="1:11" x14ac:dyDescent="0.3">
      <c r="A15" s="25">
        <v>14</v>
      </c>
      <c r="B15" s="9" t="s">
        <v>14</v>
      </c>
      <c r="C15" s="13" t="s">
        <v>14</v>
      </c>
      <c r="D15" s="15" t="s">
        <v>14</v>
      </c>
      <c r="E15" s="3" t="s">
        <v>14</v>
      </c>
      <c r="F15" s="5" t="s">
        <v>12</v>
      </c>
      <c r="G15" s="11"/>
      <c r="H15" s="26"/>
    </row>
    <row r="16" spans="1:11" x14ac:dyDescent="0.3">
      <c r="A16" s="25">
        <v>15</v>
      </c>
      <c r="B16" s="9" t="s">
        <v>14</v>
      </c>
      <c r="C16" s="13" t="s">
        <v>14</v>
      </c>
      <c r="D16" s="15" t="s">
        <v>14</v>
      </c>
      <c r="E16" s="3" t="s">
        <v>12</v>
      </c>
      <c r="F16" s="5"/>
      <c r="G16" s="11"/>
      <c r="H16" s="26"/>
    </row>
    <row r="17" spans="1:9" x14ac:dyDescent="0.3">
      <c r="A17" s="25">
        <v>16</v>
      </c>
      <c r="B17" s="9" t="s">
        <v>14</v>
      </c>
      <c r="C17" s="13" t="s">
        <v>14</v>
      </c>
      <c r="D17" s="15" t="s">
        <v>14</v>
      </c>
      <c r="E17" s="3" t="s">
        <v>12</v>
      </c>
      <c r="F17" s="5"/>
      <c r="G17" s="11"/>
      <c r="H17" s="26"/>
    </row>
    <row r="18" spans="1:9" x14ac:dyDescent="0.3">
      <c r="A18" s="25">
        <v>17</v>
      </c>
      <c r="B18" s="9" t="s">
        <v>14</v>
      </c>
      <c r="C18" s="13" t="s">
        <v>14</v>
      </c>
      <c r="D18" s="15" t="s">
        <v>12</v>
      </c>
      <c r="E18" s="3"/>
      <c r="F18" s="5"/>
      <c r="G18" s="11"/>
      <c r="H18" s="26"/>
    </row>
    <row r="19" spans="1:9" x14ac:dyDescent="0.3">
      <c r="A19" s="25">
        <v>18</v>
      </c>
      <c r="B19" s="9" t="s">
        <v>14</v>
      </c>
      <c r="C19" s="13" t="s">
        <v>14</v>
      </c>
      <c r="D19" s="15" t="s">
        <v>12</v>
      </c>
      <c r="E19" s="3"/>
      <c r="F19" s="5"/>
      <c r="G19" s="11"/>
      <c r="H19" s="26"/>
    </row>
    <row r="20" spans="1:9" x14ac:dyDescent="0.3">
      <c r="A20" s="25">
        <v>19</v>
      </c>
      <c r="B20" s="9" t="s">
        <v>14</v>
      </c>
      <c r="C20" s="13" t="s">
        <v>14</v>
      </c>
      <c r="D20" s="15" t="s">
        <v>14</v>
      </c>
      <c r="E20" s="3" t="s">
        <v>12</v>
      </c>
      <c r="F20" s="5"/>
      <c r="G20" s="11"/>
      <c r="H20" s="26"/>
    </row>
    <row r="21" spans="1:9" x14ac:dyDescent="0.3">
      <c r="A21" s="25">
        <v>20</v>
      </c>
      <c r="B21" s="9" t="s">
        <v>14</v>
      </c>
      <c r="C21" s="13" t="s">
        <v>14</v>
      </c>
      <c r="D21" s="15" t="s">
        <v>14</v>
      </c>
      <c r="E21" s="3" t="s">
        <v>12</v>
      </c>
      <c r="F21" s="5"/>
      <c r="G21" s="11"/>
      <c r="H21" s="26"/>
    </row>
    <row r="22" spans="1:9" x14ac:dyDescent="0.3">
      <c r="A22" s="25">
        <v>21</v>
      </c>
      <c r="B22" s="9" t="s">
        <v>14</v>
      </c>
      <c r="C22" s="13" t="s">
        <v>14</v>
      </c>
      <c r="D22" s="15" t="s">
        <v>12</v>
      </c>
      <c r="E22" s="3"/>
      <c r="F22" s="5"/>
      <c r="G22" s="11"/>
      <c r="H22" s="26"/>
    </row>
    <row r="23" spans="1:9" x14ac:dyDescent="0.3">
      <c r="A23" s="25">
        <v>22</v>
      </c>
      <c r="B23" s="9" t="s">
        <v>14</v>
      </c>
      <c r="C23" s="13" t="s">
        <v>14</v>
      </c>
      <c r="D23" s="15" t="s">
        <v>14</v>
      </c>
      <c r="E23" s="3" t="s">
        <v>14</v>
      </c>
      <c r="F23" s="5" t="s">
        <v>14</v>
      </c>
      <c r="G23" s="11" t="s">
        <v>12</v>
      </c>
      <c r="H23" s="26"/>
    </row>
    <row r="24" spans="1:9" x14ac:dyDescent="0.3">
      <c r="A24" s="25">
        <v>23</v>
      </c>
      <c r="B24" s="9" t="s">
        <v>14</v>
      </c>
      <c r="C24" s="13" t="s">
        <v>14</v>
      </c>
      <c r="D24" s="15" t="s">
        <v>14</v>
      </c>
      <c r="E24" s="3" t="s">
        <v>12</v>
      </c>
      <c r="F24" s="5"/>
      <c r="G24" s="11"/>
      <c r="H24" s="26"/>
    </row>
    <row r="25" spans="1:9" x14ac:dyDescent="0.3">
      <c r="A25" s="25">
        <v>24</v>
      </c>
      <c r="B25" s="9" t="s">
        <v>14</v>
      </c>
      <c r="C25" s="13" t="s">
        <v>14</v>
      </c>
      <c r="D25" s="15" t="s">
        <v>14</v>
      </c>
      <c r="E25" s="3" t="s">
        <v>12</v>
      </c>
      <c r="F25" s="5"/>
      <c r="G25" s="11"/>
      <c r="H25" s="26"/>
    </row>
    <row r="26" spans="1:9" x14ac:dyDescent="0.3">
      <c r="A26" s="25">
        <v>25</v>
      </c>
      <c r="B26" s="9" t="s">
        <v>14</v>
      </c>
      <c r="C26" s="13" t="s">
        <v>14</v>
      </c>
      <c r="D26" s="15" t="s">
        <v>14</v>
      </c>
      <c r="E26" s="3" t="s">
        <v>14</v>
      </c>
      <c r="F26" s="5" t="s">
        <v>14</v>
      </c>
      <c r="G26" s="11" t="s">
        <v>12</v>
      </c>
      <c r="H26" s="26"/>
    </row>
    <row r="27" spans="1:9" x14ac:dyDescent="0.3">
      <c r="A27" s="25">
        <v>26</v>
      </c>
      <c r="B27" s="9" t="s">
        <v>14</v>
      </c>
      <c r="C27" s="13" t="s">
        <v>14</v>
      </c>
      <c r="D27" s="15" t="s">
        <v>14</v>
      </c>
      <c r="E27" s="3" t="s">
        <v>14</v>
      </c>
      <c r="F27" s="5" t="s">
        <v>12</v>
      </c>
      <c r="G27" s="11"/>
      <c r="H27" s="26"/>
    </row>
    <row r="28" spans="1:9" x14ac:dyDescent="0.3">
      <c r="A28" s="25">
        <v>27</v>
      </c>
      <c r="B28" s="9" t="s">
        <v>14</v>
      </c>
      <c r="C28" s="13" t="s">
        <v>14</v>
      </c>
      <c r="D28" s="15" t="s">
        <v>12</v>
      </c>
      <c r="E28" s="3"/>
      <c r="F28" s="5"/>
      <c r="G28" s="11"/>
      <c r="H28" s="26"/>
    </row>
    <row r="29" spans="1:9" x14ac:dyDescent="0.3">
      <c r="A29" s="25">
        <v>28</v>
      </c>
      <c r="B29" s="9" t="s">
        <v>14</v>
      </c>
      <c r="C29" s="13" t="s">
        <v>14</v>
      </c>
      <c r="D29" s="15" t="s">
        <v>12</v>
      </c>
      <c r="E29" s="3"/>
      <c r="F29" s="5"/>
      <c r="G29" s="11"/>
      <c r="H29" s="26"/>
    </row>
    <row r="30" spans="1:9" x14ac:dyDescent="0.3">
      <c r="B30">
        <f>COUNTIF(B2:B29, "x")</f>
        <v>0</v>
      </c>
      <c r="C30">
        <f>COUNTIF(C2:C29, "x")</f>
        <v>0</v>
      </c>
      <c r="D30">
        <f>COUNTIF(D2:D29, "x")</f>
        <v>10</v>
      </c>
      <c r="E30">
        <f>COUNTIF(E2:E29, "x")</f>
        <v>10</v>
      </c>
      <c r="F30">
        <f>COUNTIF(F2:F29, "x")</f>
        <v>4</v>
      </c>
      <c r="G30">
        <f>COUNTIF(G2:G29, "x")</f>
        <v>4</v>
      </c>
      <c r="H30">
        <f>COUNTIF(H2:H29, "x")</f>
        <v>0</v>
      </c>
      <c r="I30">
        <f>SUM(C30:H30)</f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79D672-E025-4F83-9973-2C82013D4A97}">
  <dimension ref="A1:O33"/>
  <sheetViews>
    <sheetView zoomScale="115" zoomScaleNormal="115" workbookViewId="0">
      <selection activeCell="B2" sqref="B2"/>
    </sheetView>
  </sheetViews>
  <sheetFormatPr defaultRowHeight="14.4" x14ac:dyDescent="0.3"/>
  <cols>
    <col min="2" max="2" width="12.6640625" bestFit="1" customWidth="1"/>
    <col min="13" max="13" width="10.33203125" customWidth="1"/>
  </cols>
  <sheetData>
    <row r="1" spans="1:15" x14ac:dyDescent="0.3">
      <c r="A1" s="17" t="s">
        <v>0</v>
      </c>
      <c r="B1" s="29" t="s">
        <v>36</v>
      </c>
      <c r="C1" s="1" t="s">
        <v>30</v>
      </c>
      <c r="D1" s="1" t="s">
        <v>28</v>
      </c>
      <c r="E1" s="1" t="s">
        <v>29</v>
      </c>
      <c r="F1" s="1" t="s">
        <v>31</v>
      </c>
      <c r="G1" s="1" t="s">
        <v>32</v>
      </c>
      <c r="H1" s="1" t="s">
        <v>37</v>
      </c>
      <c r="I1" s="1" t="s">
        <v>38</v>
      </c>
    </row>
    <row r="2" spans="1:15" x14ac:dyDescent="0.3">
      <c r="A2" s="25">
        <v>1</v>
      </c>
      <c r="B2">
        <v>4</v>
      </c>
      <c r="C2">
        <f t="shared" ref="C2:C31" si="0">$L$2</f>
        <v>4.0333333333333332</v>
      </c>
      <c r="D2">
        <f t="shared" ref="D2:D31" si="1">$L$3</f>
        <v>17.550359633522291</v>
      </c>
      <c r="E2">
        <f t="shared" ref="E2:E31" si="2">$L$4</f>
        <v>0</v>
      </c>
      <c r="F2">
        <f t="shared" ref="F2:F31" si="3">$L$5</f>
        <v>13.044684200125971</v>
      </c>
      <c r="G2">
        <f t="shared" ref="G2:G31" si="4">$L$6</f>
        <v>0</v>
      </c>
      <c r="H2">
        <f>$L$7</f>
        <v>8.5390087667296513</v>
      </c>
      <c r="I2">
        <f>$L$8</f>
        <v>0</v>
      </c>
      <c r="K2" t="s">
        <v>30</v>
      </c>
      <c r="L2">
        <f>AVERAGE(B2:B31)</f>
        <v>4.0333333333333332</v>
      </c>
      <c r="M2">
        <f>L2*0.693</f>
        <v>2.7950999999999997</v>
      </c>
      <c r="O2">
        <f>SQRT(L2*(L2+1))</f>
        <v>4.5056754333963189</v>
      </c>
    </row>
    <row r="3" spans="1:15" x14ac:dyDescent="0.3">
      <c r="A3" s="25">
        <v>2</v>
      </c>
      <c r="B3">
        <v>3</v>
      </c>
      <c r="C3">
        <f t="shared" si="0"/>
        <v>4.0333333333333332</v>
      </c>
      <c r="D3">
        <f t="shared" si="1"/>
        <v>17.550359633522291</v>
      </c>
      <c r="E3">
        <f t="shared" si="2"/>
        <v>0</v>
      </c>
      <c r="F3">
        <f t="shared" si="3"/>
        <v>13.044684200125971</v>
      </c>
      <c r="G3">
        <f t="shared" si="4"/>
        <v>0</v>
      </c>
      <c r="H3">
        <f t="shared" ref="H3:H31" si="5">$L$7</f>
        <v>8.5390087667296513</v>
      </c>
      <c r="I3">
        <f t="shared" ref="I3:I31" si="6">$L$8</f>
        <v>0</v>
      </c>
      <c r="K3" t="s">
        <v>28</v>
      </c>
      <c r="L3">
        <f>L2+3*SQRT(L2*(L2+1))</f>
        <v>17.550359633522291</v>
      </c>
    </row>
    <row r="4" spans="1:15" x14ac:dyDescent="0.3">
      <c r="A4" s="25">
        <v>3</v>
      </c>
      <c r="B4">
        <v>3</v>
      </c>
      <c r="C4">
        <f t="shared" si="0"/>
        <v>4.0333333333333332</v>
      </c>
      <c r="D4">
        <f t="shared" si="1"/>
        <v>17.550359633522291</v>
      </c>
      <c r="E4">
        <f t="shared" si="2"/>
        <v>0</v>
      </c>
      <c r="F4">
        <f t="shared" si="3"/>
        <v>13.044684200125971</v>
      </c>
      <c r="G4">
        <f t="shared" si="4"/>
        <v>0</v>
      </c>
      <c r="H4">
        <f t="shared" si="5"/>
        <v>8.5390087667296513</v>
      </c>
      <c r="I4">
        <f t="shared" si="6"/>
        <v>0</v>
      </c>
      <c r="K4" t="s">
        <v>29</v>
      </c>
      <c r="L4">
        <f>MAX(0, L2 - 3 * SQRT(L2 * (L2 +1)))</f>
        <v>0</v>
      </c>
      <c r="M4">
        <f>L2 - 3 * SQRT(L2 * (L2 +1))</f>
        <v>-9.4836929668556227</v>
      </c>
    </row>
    <row r="5" spans="1:15" x14ac:dyDescent="0.3">
      <c r="A5" s="25">
        <v>4</v>
      </c>
      <c r="B5">
        <v>3</v>
      </c>
      <c r="C5">
        <f t="shared" si="0"/>
        <v>4.0333333333333332</v>
      </c>
      <c r="D5">
        <f t="shared" si="1"/>
        <v>17.550359633522291</v>
      </c>
      <c r="E5">
        <f t="shared" si="2"/>
        <v>0</v>
      </c>
      <c r="F5">
        <f t="shared" si="3"/>
        <v>13.044684200125971</v>
      </c>
      <c r="G5">
        <f t="shared" si="4"/>
        <v>0</v>
      </c>
      <c r="H5">
        <f t="shared" si="5"/>
        <v>8.5390087667296513</v>
      </c>
      <c r="I5">
        <f t="shared" si="6"/>
        <v>0</v>
      </c>
      <c r="K5" t="s">
        <v>31</v>
      </c>
      <c r="L5">
        <f>L2+2*SQRT(L2*(L2+1))</f>
        <v>13.044684200125971</v>
      </c>
    </row>
    <row r="6" spans="1:15" x14ac:dyDescent="0.3">
      <c r="A6" s="25">
        <v>5</v>
      </c>
      <c r="B6">
        <v>4</v>
      </c>
      <c r="C6">
        <f t="shared" si="0"/>
        <v>4.0333333333333332</v>
      </c>
      <c r="D6">
        <f t="shared" si="1"/>
        <v>17.550359633522291</v>
      </c>
      <c r="E6">
        <f t="shared" si="2"/>
        <v>0</v>
      </c>
      <c r="F6">
        <f t="shared" si="3"/>
        <v>13.044684200125971</v>
      </c>
      <c r="G6">
        <f t="shared" si="4"/>
        <v>0</v>
      </c>
      <c r="H6">
        <f t="shared" si="5"/>
        <v>8.5390087667296513</v>
      </c>
      <c r="I6">
        <f t="shared" si="6"/>
        <v>0</v>
      </c>
      <c r="K6" t="s">
        <v>32</v>
      </c>
      <c r="L6">
        <f>MAX(0, L2 - 2 * SQRT(L2 * (L2 + 1)))</f>
        <v>0</v>
      </c>
      <c r="M6">
        <f>L2 - 2 * SQRT(L2 * (L2 + 1))</f>
        <v>-4.9780175334593046</v>
      </c>
    </row>
    <row r="7" spans="1:15" x14ac:dyDescent="0.3">
      <c r="A7" s="25">
        <v>6</v>
      </c>
      <c r="B7">
        <v>3</v>
      </c>
      <c r="C7">
        <f t="shared" si="0"/>
        <v>4.0333333333333332</v>
      </c>
      <c r="D7">
        <f t="shared" si="1"/>
        <v>17.550359633522291</v>
      </c>
      <c r="E7">
        <f t="shared" si="2"/>
        <v>0</v>
      </c>
      <c r="F7">
        <f t="shared" si="3"/>
        <v>13.044684200125971</v>
      </c>
      <c r="G7">
        <f t="shared" si="4"/>
        <v>0</v>
      </c>
      <c r="H7">
        <f t="shared" si="5"/>
        <v>8.5390087667296513</v>
      </c>
      <c r="I7">
        <f t="shared" si="6"/>
        <v>0</v>
      </c>
      <c r="K7" t="s">
        <v>37</v>
      </c>
      <c r="L7">
        <f>L2+1*SQRT(L2*(L2+1))</f>
        <v>8.5390087667296513</v>
      </c>
    </row>
    <row r="8" spans="1:15" x14ac:dyDescent="0.3">
      <c r="A8" s="25">
        <v>7</v>
      </c>
      <c r="B8">
        <v>6</v>
      </c>
      <c r="C8">
        <f t="shared" si="0"/>
        <v>4.0333333333333332</v>
      </c>
      <c r="D8">
        <f t="shared" si="1"/>
        <v>17.550359633522291</v>
      </c>
      <c r="E8">
        <f t="shared" si="2"/>
        <v>0</v>
      </c>
      <c r="F8">
        <f t="shared" si="3"/>
        <v>13.044684200125971</v>
      </c>
      <c r="G8">
        <f t="shared" si="4"/>
        <v>0</v>
      </c>
      <c r="H8">
        <f t="shared" si="5"/>
        <v>8.5390087667296513</v>
      </c>
      <c r="I8">
        <f t="shared" si="6"/>
        <v>0</v>
      </c>
      <c r="K8" t="s">
        <v>38</v>
      </c>
      <c r="L8">
        <f>MAX(0, L2 - 1 * SQRT(L2 * (L2 + 1)))</f>
        <v>0</v>
      </c>
      <c r="M8">
        <f>L2 - SQRT(L2 * (L2 + 1))</f>
        <v>-0.47234210006298571</v>
      </c>
    </row>
    <row r="9" spans="1:15" x14ac:dyDescent="0.3">
      <c r="A9" s="25">
        <v>8</v>
      </c>
      <c r="B9">
        <v>5</v>
      </c>
      <c r="C9">
        <f t="shared" si="0"/>
        <v>4.0333333333333332</v>
      </c>
      <c r="D9">
        <f t="shared" si="1"/>
        <v>17.550359633522291</v>
      </c>
      <c r="E9">
        <f t="shared" si="2"/>
        <v>0</v>
      </c>
      <c r="F9">
        <f t="shared" si="3"/>
        <v>13.044684200125971</v>
      </c>
      <c r="G9">
        <f t="shared" si="4"/>
        <v>0</v>
      </c>
      <c r="H9">
        <f t="shared" si="5"/>
        <v>8.5390087667296513</v>
      </c>
      <c r="I9">
        <f t="shared" si="6"/>
        <v>0</v>
      </c>
    </row>
    <row r="10" spans="1:15" x14ac:dyDescent="0.3">
      <c r="A10" s="25">
        <v>9</v>
      </c>
      <c r="B10">
        <v>4</v>
      </c>
      <c r="C10">
        <f t="shared" si="0"/>
        <v>4.0333333333333332</v>
      </c>
      <c r="D10">
        <f t="shared" si="1"/>
        <v>17.550359633522291</v>
      </c>
      <c r="E10">
        <f t="shared" si="2"/>
        <v>0</v>
      </c>
      <c r="F10">
        <f t="shared" si="3"/>
        <v>13.044684200125971</v>
      </c>
      <c r="G10">
        <f t="shared" si="4"/>
        <v>0</v>
      </c>
      <c r="H10">
        <f t="shared" si="5"/>
        <v>8.5390087667296513</v>
      </c>
      <c r="I10">
        <f t="shared" si="6"/>
        <v>0</v>
      </c>
    </row>
    <row r="11" spans="1:15" x14ac:dyDescent="0.3">
      <c r="A11" s="25">
        <v>10</v>
      </c>
      <c r="B11">
        <v>4</v>
      </c>
      <c r="C11">
        <f t="shared" si="0"/>
        <v>4.0333333333333332</v>
      </c>
      <c r="D11">
        <f t="shared" si="1"/>
        <v>17.550359633522291</v>
      </c>
      <c r="E11">
        <f t="shared" si="2"/>
        <v>0</v>
      </c>
      <c r="F11">
        <f t="shared" si="3"/>
        <v>13.044684200125971</v>
      </c>
      <c r="G11">
        <f t="shared" si="4"/>
        <v>0</v>
      </c>
      <c r="H11">
        <f t="shared" si="5"/>
        <v>8.5390087667296513</v>
      </c>
      <c r="I11">
        <f t="shared" si="6"/>
        <v>0</v>
      </c>
    </row>
    <row r="12" spans="1:15" x14ac:dyDescent="0.3">
      <c r="A12" s="25">
        <v>11</v>
      </c>
      <c r="B12">
        <v>5</v>
      </c>
      <c r="C12">
        <f t="shared" si="0"/>
        <v>4.0333333333333332</v>
      </c>
      <c r="D12">
        <f t="shared" si="1"/>
        <v>17.550359633522291</v>
      </c>
      <c r="E12">
        <f t="shared" si="2"/>
        <v>0</v>
      </c>
      <c r="F12">
        <f t="shared" si="3"/>
        <v>13.044684200125971</v>
      </c>
      <c r="G12">
        <f t="shared" si="4"/>
        <v>0</v>
      </c>
      <c r="H12">
        <f t="shared" si="5"/>
        <v>8.5390087667296513</v>
      </c>
      <c r="I12">
        <f t="shared" si="6"/>
        <v>0</v>
      </c>
    </row>
    <row r="13" spans="1:15" x14ac:dyDescent="0.3">
      <c r="A13" s="25">
        <v>12</v>
      </c>
      <c r="B13">
        <v>3</v>
      </c>
      <c r="C13">
        <f t="shared" si="0"/>
        <v>4.0333333333333332</v>
      </c>
      <c r="D13">
        <f t="shared" si="1"/>
        <v>17.550359633522291</v>
      </c>
      <c r="E13">
        <f t="shared" si="2"/>
        <v>0</v>
      </c>
      <c r="F13">
        <f t="shared" si="3"/>
        <v>13.044684200125971</v>
      </c>
      <c r="G13">
        <f t="shared" si="4"/>
        <v>0</v>
      </c>
      <c r="H13">
        <f t="shared" si="5"/>
        <v>8.5390087667296513</v>
      </c>
      <c r="I13">
        <f t="shared" si="6"/>
        <v>0</v>
      </c>
    </row>
    <row r="14" spans="1:15" x14ac:dyDescent="0.3">
      <c r="A14" s="25">
        <v>13</v>
      </c>
      <c r="B14">
        <v>6</v>
      </c>
      <c r="C14">
        <f t="shared" si="0"/>
        <v>4.0333333333333332</v>
      </c>
      <c r="D14">
        <f t="shared" si="1"/>
        <v>17.550359633522291</v>
      </c>
      <c r="E14">
        <f t="shared" si="2"/>
        <v>0</v>
      </c>
      <c r="F14">
        <f t="shared" si="3"/>
        <v>13.044684200125971</v>
      </c>
      <c r="G14">
        <f t="shared" si="4"/>
        <v>0</v>
      </c>
      <c r="H14">
        <f t="shared" si="5"/>
        <v>8.5390087667296513</v>
      </c>
      <c r="I14">
        <f t="shared" si="6"/>
        <v>0</v>
      </c>
    </row>
    <row r="15" spans="1:15" x14ac:dyDescent="0.3">
      <c r="A15" s="25">
        <v>14</v>
      </c>
      <c r="B15">
        <v>5</v>
      </c>
      <c r="C15">
        <f t="shared" si="0"/>
        <v>4.0333333333333332</v>
      </c>
      <c r="D15">
        <f t="shared" si="1"/>
        <v>17.550359633522291</v>
      </c>
      <c r="E15">
        <f t="shared" si="2"/>
        <v>0</v>
      </c>
      <c r="F15">
        <f t="shared" si="3"/>
        <v>13.044684200125971</v>
      </c>
      <c r="G15">
        <f t="shared" si="4"/>
        <v>0</v>
      </c>
      <c r="H15">
        <f t="shared" si="5"/>
        <v>8.5390087667296513</v>
      </c>
      <c r="I15">
        <f t="shared" si="6"/>
        <v>0</v>
      </c>
    </row>
    <row r="16" spans="1:15" x14ac:dyDescent="0.3">
      <c r="A16" s="25">
        <v>15</v>
      </c>
      <c r="B16">
        <v>4</v>
      </c>
      <c r="C16">
        <f t="shared" si="0"/>
        <v>4.0333333333333332</v>
      </c>
      <c r="D16">
        <f t="shared" si="1"/>
        <v>17.550359633522291</v>
      </c>
      <c r="E16">
        <f t="shared" si="2"/>
        <v>0</v>
      </c>
      <c r="F16">
        <f t="shared" si="3"/>
        <v>13.044684200125971</v>
      </c>
      <c r="G16">
        <f t="shared" si="4"/>
        <v>0</v>
      </c>
      <c r="H16">
        <f t="shared" si="5"/>
        <v>8.5390087667296513</v>
      </c>
      <c r="I16">
        <f t="shared" si="6"/>
        <v>0</v>
      </c>
    </row>
    <row r="17" spans="1:9" x14ac:dyDescent="0.3">
      <c r="A17" s="25">
        <v>16</v>
      </c>
      <c r="B17">
        <v>4</v>
      </c>
      <c r="C17">
        <f t="shared" si="0"/>
        <v>4.0333333333333332</v>
      </c>
      <c r="D17">
        <f t="shared" si="1"/>
        <v>17.550359633522291</v>
      </c>
      <c r="E17">
        <f t="shared" si="2"/>
        <v>0</v>
      </c>
      <c r="F17">
        <f t="shared" si="3"/>
        <v>13.044684200125971</v>
      </c>
      <c r="G17">
        <f t="shared" si="4"/>
        <v>0</v>
      </c>
      <c r="H17">
        <f t="shared" si="5"/>
        <v>8.5390087667296513</v>
      </c>
      <c r="I17">
        <f t="shared" si="6"/>
        <v>0</v>
      </c>
    </row>
    <row r="18" spans="1:9" x14ac:dyDescent="0.3">
      <c r="A18" s="25">
        <v>17</v>
      </c>
      <c r="B18">
        <v>3</v>
      </c>
      <c r="C18">
        <f t="shared" si="0"/>
        <v>4.0333333333333332</v>
      </c>
      <c r="D18">
        <f t="shared" si="1"/>
        <v>17.550359633522291</v>
      </c>
      <c r="E18">
        <f t="shared" si="2"/>
        <v>0</v>
      </c>
      <c r="F18">
        <f t="shared" si="3"/>
        <v>13.044684200125971</v>
      </c>
      <c r="G18">
        <f t="shared" si="4"/>
        <v>0</v>
      </c>
      <c r="H18">
        <f t="shared" si="5"/>
        <v>8.5390087667296513</v>
      </c>
      <c r="I18">
        <f t="shared" si="6"/>
        <v>0</v>
      </c>
    </row>
    <row r="19" spans="1:9" x14ac:dyDescent="0.3">
      <c r="A19" s="25">
        <v>18</v>
      </c>
      <c r="B19">
        <v>3</v>
      </c>
      <c r="C19">
        <f t="shared" si="0"/>
        <v>4.0333333333333332</v>
      </c>
      <c r="D19">
        <f t="shared" si="1"/>
        <v>17.550359633522291</v>
      </c>
      <c r="E19">
        <f t="shared" si="2"/>
        <v>0</v>
      </c>
      <c r="F19">
        <f t="shared" si="3"/>
        <v>13.044684200125971</v>
      </c>
      <c r="G19">
        <f t="shared" si="4"/>
        <v>0</v>
      </c>
      <c r="H19">
        <f t="shared" si="5"/>
        <v>8.5390087667296513</v>
      </c>
      <c r="I19">
        <f t="shared" si="6"/>
        <v>0</v>
      </c>
    </row>
    <row r="20" spans="1:9" x14ac:dyDescent="0.3">
      <c r="A20" s="25">
        <v>19</v>
      </c>
      <c r="B20">
        <v>4</v>
      </c>
      <c r="C20">
        <f t="shared" si="0"/>
        <v>4.0333333333333332</v>
      </c>
      <c r="D20">
        <f t="shared" si="1"/>
        <v>17.550359633522291</v>
      </c>
      <c r="E20">
        <f t="shared" si="2"/>
        <v>0</v>
      </c>
      <c r="F20">
        <f t="shared" si="3"/>
        <v>13.044684200125971</v>
      </c>
      <c r="G20">
        <f t="shared" si="4"/>
        <v>0</v>
      </c>
      <c r="H20">
        <f t="shared" si="5"/>
        <v>8.5390087667296513</v>
      </c>
      <c r="I20">
        <f t="shared" si="6"/>
        <v>0</v>
      </c>
    </row>
    <row r="21" spans="1:9" x14ac:dyDescent="0.3">
      <c r="A21" s="25">
        <v>20</v>
      </c>
      <c r="B21">
        <v>4</v>
      </c>
      <c r="C21">
        <f t="shared" si="0"/>
        <v>4.0333333333333332</v>
      </c>
      <c r="D21">
        <f t="shared" si="1"/>
        <v>17.550359633522291</v>
      </c>
      <c r="E21">
        <f t="shared" si="2"/>
        <v>0</v>
      </c>
      <c r="F21">
        <f t="shared" si="3"/>
        <v>13.044684200125971</v>
      </c>
      <c r="G21">
        <f t="shared" si="4"/>
        <v>0</v>
      </c>
      <c r="H21">
        <f t="shared" si="5"/>
        <v>8.5390087667296513</v>
      </c>
      <c r="I21">
        <f t="shared" si="6"/>
        <v>0</v>
      </c>
    </row>
    <row r="22" spans="1:9" x14ac:dyDescent="0.3">
      <c r="A22" s="25">
        <v>21</v>
      </c>
      <c r="B22">
        <v>3</v>
      </c>
      <c r="C22">
        <f t="shared" si="0"/>
        <v>4.0333333333333332</v>
      </c>
      <c r="D22">
        <f t="shared" si="1"/>
        <v>17.550359633522291</v>
      </c>
      <c r="E22">
        <f t="shared" si="2"/>
        <v>0</v>
      </c>
      <c r="F22">
        <f t="shared" si="3"/>
        <v>13.044684200125971</v>
      </c>
      <c r="G22">
        <f t="shared" si="4"/>
        <v>0</v>
      </c>
      <c r="H22">
        <f t="shared" si="5"/>
        <v>8.5390087667296513</v>
      </c>
      <c r="I22">
        <f t="shared" si="6"/>
        <v>0</v>
      </c>
    </row>
    <row r="23" spans="1:9" x14ac:dyDescent="0.3">
      <c r="A23" s="25">
        <v>22</v>
      </c>
      <c r="B23">
        <v>6</v>
      </c>
      <c r="C23">
        <f t="shared" si="0"/>
        <v>4.0333333333333332</v>
      </c>
      <c r="D23">
        <f t="shared" si="1"/>
        <v>17.550359633522291</v>
      </c>
      <c r="E23">
        <f t="shared" si="2"/>
        <v>0</v>
      </c>
      <c r="F23">
        <f t="shared" si="3"/>
        <v>13.044684200125971</v>
      </c>
      <c r="G23">
        <f t="shared" si="4"/>
        <v>0</v>
      </c>
      <c r="H23">
        <f t="shared" si="5"/>
        <v>8.5390087667296513</v>
      </c>
      <c r="I23">
        <f t="shared" si="6"/>
        <v>0</v>
      </c>
    </row>
    <row r="24" spans="1:9" x14ac:dyDescent="0.3">
      <c r="A24" s="25">
        <v>23</v>
      </c>
      <c r="B24">
        <v>4</v>
      </c>
      <c r="C24">
        <f t="shared" si="0"/>
        <v>4.0333333333333332</v>
      </c>
      <c r="D24">
        <f t="shared" si="1"/>
        <v>17.550359633522291</v>
      </c>
      <c r="E24">
        <f t="shared" si="2"/>
        <v>0</v>
      </c>
      <c r="F24">
        <f t="shared" si="3"/>
        <v>13.044684200125971</v>
      </c>
      <c r="G24">
        <f t="shared" si="4"/>
        <v>0</v>
      </c>
      <c r="H24">
        <f t="shared" si="5"/>
        <v>8.5390087667296513</v>
      </c>
      <c r="I24">
        <f t="shared" si="6"/>
        <v>0</v>
      </c>
    </row>
    <row r="25" spans="1:9" x14ac:dyDescent="0.3">
      <c r="A25" s="25">
        <v>24</v>
      </c>
      <c r="B25">
        <v>4</v>
      </c>
      <c r="C25">
        <f t="shared" si="0"/>
        <v>4.0333333333333332</v>
      </c>
      <c r="D25">
        <f t="shared" si="1"/>
        <v>17.550359633522291</v>
      </c>
      <c r="E25">
        <f t="shared" si="2"/>
        <v>0</v>
      </c>
      <c r="F25">
        <f t="shared" si="3"/>
        <v>13.044684200125971</v>
      </c>
      <c r="G25">
        <f t="shared" si="4"/>
        <v>0</v>
      </c>
      <c r="H25">
        <f t="shared" si="5"/>
        <v>8.5390087667296513</v>
      </c>
      <c r="I25">
        <f t="shared" si="6"/>
        <v>0</v>
      </c>
    </row>
    <row r="26" spans="1:9" x14ac:dyDescent="0.3">
      <c r="A26" s="25">
        <v>25</v>
      </c>
      <c r="B26">
        <v>6</v>
      </c>
      <c r="C26">
        <f t="shared" si="0"/>
        <v>4.0333333333333332</v>
      </c>
      <c r="D26">
        <f t="shared" si="1"/>
        <v>17.550359633522291</v>
      </c>
      <c r="E26">
        <f t="shared" si="2"/>
        <v>0</v>
      </c>
      <c r="F26">
        <f t="shared" si="3"/>
        <v>13.044684200125971</v>
      </c>
      <c r="G26">
        <f t="shared" si="4"/>
        <v>0</v>
      </c>
      <c r="H26">
        <f t="shared" si="5"/>
        <v>8.5390087667296513</v>
      </c>
      <c r="I26">
        <f t="shared" si="6"/>
        <v>0</v>
      </c>
    </row>
    <row r="27" spans="1:9" x14ac:dyDescent="0.3">
      <c r="A27" s="25">
        <v>26</v>
      </c>
      <c r="B27">
        <v>5</v>
      </c>
      <c r="C27">
        <f t="shared" si="0"/>
        <v>4.0333333333333332</v>
      </c>
      <c r="D27">
        <f t="shared" si="1"/>
        <v>17.550359633522291</v>
      </c>
      <c r="E27">
        <f t="shared" si="2"/>
        <v>0</v>
      </c>
      <c r="F27">
        <f t="shared" si="3"/>
        <v>13.044684200125971</v>
      </c>
      <c r="G27">
        <f t="shared" si="4"/>
        <v>0</v>
      </c>
      <c r="H27">
        <f t="shared" si="5"/>
        <v>8.5390087667296513</v>
      </c>
      <c r="I27">
        <f t="shared" si="6"/>
        <v>0</v>
      </c>
    </row>
    <row r="28" spans="1:9" x14ac:dyDescent="0.3">
      <c r="A28" s="25">
        <v>27</v>
      </c>
      <c r="B28">
        <v>3</v>
      </c>
      <c r="C28">
        <f t="shared" si="0"/>
        <v>4.0333333333333332</v>
      </c>
      <c r="D28">
        <f t="shared" si="1"/>
        <v>17.550359633522291</v>
      </c>
      <c r="E28">
        <f t="shared" si="2"/>
        <v>0</v>
      </c>
      <c r="F28">
        <f t="shared" si="3"/>
        <v>13.044684200125971</v>
      </c>
      <c r="G28">
        <f t="shared" si="4"/>
        <v>0</v>
      </c>
      <c r="H28">
        <f t="shared" si="5"/>
        <v>8.5390087667296513</v>
      </c>
      <c r="I28">
        <f t="shared" si="6"/>
        <v>0</v>
      </c>
    </row>
    <row r="29" spans="1:9" x14ac:dyDescent="0.3">
      <c r="A29" s="25">
        <v>28</v>
      </c>
      <c r="B29">
        <v>3</v>
      </c>
      <c r="C29">
        <f t="shared" si="0"/>
        <v>4.0333333333333332</v>
      </c>
      <c r="D29">
        <f t="shared" si="1"/>
        <v>17.550359633522291</v>
      </c>
      <c r="E29">
        <f t="shared" si="2"/>
        <v>0</v>
      </c>
      <c r="F29">
        <f t="shared" si="3"/>
        <v>13.044684200125971</v>
      </c>
      <c r="G29">
        <f t="shared" si="4"/>
        <v>0</v>
      </c>
      <c r="H29">
        <f t="shared" si="5"/>
        <v>8.5390087667296513</v>
      </c>
      <c r="I29">
        <f t="shared" si="6"/>
        <v>0</v>
      </c>
    </row>
    <row r="30" spans="1:9" x14ac:dyDescent="0.3">
      <c r="A30" s="30">
        <v>29</v>
      </c>
      <c r="B30">
        <v>3</v>
      </c>
      <c r="C30">
        <f t="shared" si="0"/>
        <v>4.0333333333333332</v>
      </c>
      <c r="D30">
        <f t="shared" si="1"/>
        <v>17.550359633522291</v>
      </c>
      <c r="E30">
        <f t="shared" si="2"/>
        <v>0</v>
      </c>
      <c r="F30">
        <f t="shared" si="3"/>
        <v>13.044684200125971</v>
      </c>
      <c r="G30">
        <f t="shared" si="4"/>
        <v>0</v>
      </c>
      <c r="H30">
        <f t="shared" si="5"/>
        <v>8.5390087667296513</v>
      </c>
      <c r="I30">
        <f t="shared" si="6"/>
        <v>0</v>
      </c>
    </row>
    <row r="31" spans="1:9" x14ac:dyDescent="0.3">
      <c r="A31" s="30">
        <v>30</v>
      </c>
      <c r="B31">
        <v>4</v>
      </c>
      <c r="C31">
        <f t="shared" si="0"/>
        <v>4.0333333333333332</v>
      </c>
      <c r="D31">
        <f t="shared" si="1"/>
        <v>17.550359633522291</v>
      </c>
      <c r="E31">
        <f t="shared" si="2"/>
        <v>0</v>
      </c>
      <c r="F31">
        <f t="shared" si="3"/>
        <v>13.044684200125971</v>
      </c>
      <c r="G31">
        <f t="shared" si="4"/>
        <v>0</v>
      </c>
      <c r="H31">
        <f t="shared" si="5"/>
        <v>8.5390087667296513</v>
      </c>
      <c r="I31">
        <f t="shared" si="6"/>
        <v>0</v>
      </c>
    </row>
    <row r="32" spans="1:9" x14ac:dyDescent="0.3">
      <c r="B32">
        <f>SUM(B2:B31)</f>
        <v>121</v>
      </c>
    </row>
    <row r="33" spans="2:2" x14ac:dyDescent="0.3">
      <c r="B33">
        <f>B32/30</f>
        <v>4.0333333333333332</v>
      </c>
    </row>
  </sheetData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E8CEB6-BBD8-44EA-A8E1-C63A648626F3}">
  <dimension ref="A1:D6"/>
  <sheetViews>
    <sheetView workbookViewId="0">
      <selection activeCell="C11" sqref="C11"/>
    </sheetView>
  </sheetViews>
  <sheetFormatPr defaultRowHeight="14.4" x14ac:dyDescent="0.3"/>
  <sheetData>
    <row r="1" spans="1:4" x14ac:dyDescent="0.3">
      <c r="A1" t="s">
        <v>40</v>
      </c>
      <c r="B1">
        <v>76</v>
      </c>
      <c r="C1" t="s">
        <v>44</v>
      </c>
      <c r="D1">
        <f>B1/B2</f>
        <v>0.3619047619047619</v>
      </c>
    </row>
    <row r="2" spans="1:4" x14ac:dyDescent="0.3">
      <c r="A2" t="s">
        <v>41</v>
      </c>
      <c r="B2">
        <v>210</v>
      </c>
      <c r="C2" t="s">
        <v>45</v>
      </c>
      <c r="D2">
        <f>B3/B4</f>
        <v>0.24793388429752067</v>
      </c>
    </row>
    <row r="3" spans="1:4" x14ac:dyDescent="0.3">
      <c r="A3" t="s">
        <v>42</v>
      </c>
      <c r="B3">
        <v>30</v>
      </c>
    </row>
    <row r="4" spans="1:4" x14ac:dyDescent="0.3">
      <c r="A4" t="s">
        <v>43</v>
      </c>
      <c r="B4">
        <v>121</v>
      </c>
      <c r="C4" t="s">
        <v>46</v>
      </c>
      <c r="D4">
        <f>(B1+B3)/(B2+B4)</f>
        <v>0.3202416918429003</v>
      </c>
    </row>
    <row r="6" spans="1:4" x14ac:dyDescent="0.3">
      <c r="A6" t="s">
        <v>47</v>
      </c>
      <c r="B6">
        <f>(D1-D2)/SQRT(D4*(1-D4)*(1/B2+1/B4))</f>
        <v>2.1402575128007757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0E317A-8D9F-48C4-8EC2-85FF3A165E54}">
  <sheetPr>
    <pageSetUpPr fitToPage="1"/>
  </sheetPr>
  <dimension ref="A1:O44"/>
  <sheetViews>
    <sheetView workbookViewId="0">
      <selection activeCell="W16" sqref="W16"/>
    </sheetView>
  </sheetViews>
  <sheetFormatPr defaultRowHeight="14.4" x14ac:dyDescent="0.3"/>
  <cols>
    <col min="5" max="5" width="9.88671875" bestFit="1" customWidth="1"/>
    <col min="7" max="7" width="5.5546875" customWidth="1"/>
    <col min="9" max="9" width="9.88671875" bestFit="1" customWidth="1"/>
    <col min="11" max="11" width="9.33203125" bestFit="1" customWidth="1"/>
    <col min="14" max="14" width="9.33203125" bestFit="1" customWidth="1"/>
  </cols>
  <sheetData>
    <row r="1" spans="1:15" ht="15" thickBot="1" x14ac:dyDescent="0.35">
      <c r="A1" s="66" t="s">
        <v>48</v>
      </c>
      <c r="B1" s="67"/>
      <c r="C1" s="67"/>
      <c r="D1" s="67"/>
      <c r="E1" s="67"/>
      <c r="F1" s="68"/>
      <c r="H1" s="66" t="s">
        <v>49</v>
      </c>
      <c r="I1" s="69"/>
      <c r="J1" s="69"/>
      <c r="K1" s="69"/>
      <c r="L1" s="69"/>
      <c r="M1" s="69"/>
      <c r="N1" s="69"/>
      <c r="O1" s="70"/>
    </row>
    <row r="2" spans="1:15" s="1" customFormat="1" x14ac:dyDescent="0.3">
      <c r="A2" s="63" t="s">
        <v>0</v>
      </c>
      <c r="B2" s="64" t="s">
        <v>25</v>
      </c>
      <c r="C2" s="64" t="s">
        <v>24</v>
      </c>
      <c r="D2" s="64" t="s">
        <v>0</v>
      </c>
      <c r="E2" s="64" t="s">
        <v>25</v>
      </c>
      <c r="F2" s="65" t="s">
        <v>24</v>
      </c>
      <c r="G2" s="32"/>
      <c r="H2" s="63" t="s">
        <v>0</v>
      </c>
      <c r="I2" s="48" t="s">
        <v>4</v>
      </c>
      <c r="J2" s="49" t="s">
        <v>6</v>
      </c>
      <c r="K2" s="50" t="s">
        <v>7</v>
      </c>
      <c r="L2" s="51" t="s">
        <v>1</v>
      </c>
      <c r="M2" s="52" t="s">
        <v>2</v>
      </c>
      <c r="N2" s="53" t="s">
        <v>5</v>
      </c>
      <c r="O2" s="54" t="s">
        <v>3</v>
      </c>
    </row>
    <row r="3" spans="1:15" x14ac:dyDescent="0.3">
      <c r="A3" s="63">
        <v>1</v>
      </c>
      <c r="B3" s="33" t="s">
        <v>1</v>
      </c>
      <c r="C3" s="33">
        <v>3</v>
      </c>
      <c r="D3" s="64">
        <v>25</v>
      </c>
      <c r="E3" s="34" t="s">
        <v>5</v>
      </c>
      <c r="F3" s="35">
        <v>3</v>
      </c>
      <c r="H3" s="63">
        <v>1</v>
      </c>
      <c r="I3" s="42" t="s">
        <v>14</v>
      </c>
      <c r="J3" s="37" t="s">
        <v>14</v>
      </c>
      <c r="K3" s="40" t="s">
        <v>14</v>
      </c>
      <c r="L3" s="33" t="s">
        <v>12</v>
      </c>
      <c r="M3" s="36"/>
      <c r="N3" s="34"/>
      <c r="O3" s="55"/>
    </row>
    <row r="4" spans="1:15" x14ac:dyDescent="0.3">
      <c r="A4" s="63">
        <v>2</v>
      </c>
      <c r="B4" s="33" t="s">
        <v>1</v>
      </c>
      <c r="C4" s="33">
        <v>0</v>
      </c>
      <c r="D4" s="64">
        <v>26</v>
      </c>
      <c r="E4" s="34" t="s">
        <v>5</v>
      </c>
      <c r="F4" s="35">
        <v>2</v>
      </c>
      <c r="H4" s="63">
        <v>2</v>
      </c>
      <c r="I4" s="42" t="s">
        <v>14</v>
      </c>
      <c r="J4" s="37" t="s">
        <v>14</v>
      </c>
      <c r="K4" s="40" t="s">
        <v>12</v>
      </c>
      <c r="L4" s="33"/>
      <c r="M4" s="36"/>
      <c r="N4" s="34"/>
      <c r="O4" s="55"/>
    </row>
    <row r="5" spans="1:15" x14ac:dyDescent="0.3">
      <c r="A5" s="63">
        <v>3</v>
      </c>
      <c r="B5" s="33" t="s">
        <v>1</v>
      </c>
      <c r="C5" s="33">
        <v>4</v>
      </c>
      <c r="D5" s="64">
        <v>27</v>
      </c>
      <c r="E5" s="34" t="s">
        <v>5</v>
      </c>
      <c r="F5" s="35">
        <v>2</v>
      </c>
      <c r="H5" s="63">
        <v>3</v>
      </c>
      <c r="I5" s="42" t="s">
        <v>14</v>
      </c>
      <c r="J5" s="37" t="s">
        <v>14</v>
      </c>
      <c r="K5" s="40" t="s">
        <v>12</v>
      </c>
      <c r="L5" s="33"/>
      <c r="M5" s="36"/>
      <c r="N5" s="34"/>
      <c r="O5" s="55"/>
    </row>
    <row r="6" spans="1:15" x14ac:dyDescent="0.3">
      <c r="A6" s="63">
        <v>4</v>
      </c>
      <c r="B6" s="33" t="s">
        <v>1</v>
      </c>
      <c r="C6" s="33">
        <v>2</v>
      </c>
      <c r="D6" s="64">
        <v>28</v>
      </c>
      <c r="E6" s="34" t="s">
        <v>5</v>
      </c>
      <c r="F6" s="35">
        <v>3</v>
      </c>
      <c r="H6" s="63">
        <v>4</v>
      </c>
      <c r="I6" s="42" t="s">
        <v>14</v>
      </c>
      <c r="J6" s="37" t="s">
        <v>14</v>
      </c>
      <c r="K6" s="40" t="s">
        <v>12</v>
      </c>
      <c r="L6" s="33"/>
      <c r="M6" s="36"/>
      <c r="N6" s="34"/>
      <c r="O6" s="55"/>
    </row>
    <row r="7" spans="1:15" x14ac:dyDescent="0.3">
      <c r="A7" s="63">
        <v>5</v>
      </c>
      <c r="B7" s="33" t="s">
        <v>1</v>
      </c>
      <c r="C7" s="33">
        <v>3</v>
      </c>
      <c r="D7" s="64">
        <v>29</v>
      </c>
      <c r="E7" s="34" t="s">
        <v>5</v>
      </c>
      <c r="F7" s="35">
        <v>3</v>
      </c>
      <c r="H7" s="63">
        <v>5</v>
      </c>
      <c r="I7" s="42" t="s">
        <v>14</v>
      </c>
      <c r="J7" s="37" t="s">
        <v>14</v>
      </c>
      <c r="K7" s="40" t="s">
        <v>14</v>
      </c>
      <c r="L7" s="33" t="s">
        <v>12</v>
      </c>
      <c r="M7" s="36"/>
      <c r="N7" s="34"/>
      <c r="O7" s="55"/>
    </row>
    <row r="8" spans="1:15" x14ac:dyDescent="0.3">
      <c r="A8" s="63">
        <v>6</v>
      </c>
      <c r="B8" s="33" t="s">
        <v>1</v>
      </c>
      <c r="C8" s="33">
        <v>2</v>
      </c>
      <c r="D8" s="64">
        <v>30</v>
      </c>
      <c r="E8" s="34" t="s">
        <v>5</v>
      </c>
      <c r="F8" s="35">
        <v>2</v>
      </c>
      <c r="H8" s="63">
        <v>6</v>
      </c>
      <c r="I8" s="42" t="s">
        <v>14</v>
      </c>
      <c r="J8" s="37" t="s">
        <v>14</v>
      </c>
      <c r="K8" s="40" t="s">
        <v>12</v>
      </c>
      <c r="L8" s="33"/>
      <c r="M8" s="36"/>
      <c r="N8" s="34"/>
      <c r="O8" s="55"/>
    </row>
    <row r="9" spans="1:15" x14ac:dyDescent="0.3">
      <c r="A9" s="63">
        <v>7</v>
      </c>
      <c r="B9" s="36" t="s">
        <v>2</v>
      </c>
      <c r="C9" s="36">
        <v>4</v>
      </c>
      <c r="D9" s="64">
        <v>31</v>
      </c>
      <c r="E9" s="37" t="s">
        <v>6</v>
      </c>
      <c r="F9" s="38">
        <v>0</v>
      </c>
      <c r="H9" s="63">
        <v>7</v>
      </c>
      <c r="I9" s="42" t="s">
        <v>14</v>
      </c>
      <c r="J9" s="37" t="s">
        <v>14</v>
      </c>
      <c r="K9" s="40" t="s">
        <v>14</v>
      </c>
      <c r="L9" s="33" t="s">
        <v>14</v>
      </c>
      <c r="M9" s="36" t="s">
        <v>14</v>
      </c>
      <c r="N9" s="34" t="s">
        <v>12</v>
      </c>
      <c r="O9" s="55"/>
    </row>
    <row r="10" spans="1:15" x14ac:dyDescent="0.3">
      <c r="A10" s="63">
        <v>8</v>
      </c>
      <c r="B10" s="36" t="s">
        <v>2</v>
      </c>
      <c r="C10" s="36">
        <v>3</v>
      </c>
      <c r="D10" s="64">
        <v>32</v>
      </c>
      <c r="E10" s="37" t="s">
        <v>6</v>
      </c>
      <c r="F10" s="38">
        <v>0</v>
      </c>
      <c r="H10" s="63">
        <v>8</v>
      </c>
      <c r="I10" s="42" t="s">
        <v>14</v>
      </c>
      <c r="J10" s="37" t="s">
        <v>14</v>
      </c>
      <c r="K10" s="40" t="s">
        <v>14</v>
      </c>
      <c r="L10" s="33" t="s">
        <v>14</v>
      </c>
      <c r="M10" s="36" t="s">
        <v>12</v>
      </c>
      <c r="N10" s="34"/>
      <c r="O10" s="55"/>
    </row>
    <row r="11" spans="1:15" x14ac:dyDescent="0.3">
      <c r="A11" s="63">
        <v>9</v>
      </c>
      <c r="B11" s="36" t="s">
        <v>2</v>
      </c>
      <c r="C11" s="36">
        <v>3</v>
      </c>
      <c r="D11" s="64">
        <v>33</v>
      </c>
      <c r="E11" s="37" t="s">
        <v>6</v>
      </c>
      <c r="F11" s="38">
        <v>0</v>
      </c>
      <c r="H11" s="63">
        <v>9</v>
      </c>
      <c r="I11" s="42" t="s">
        <v>14</v>
      </c>
      <c r="J11" s="37" t="s">
        <v>14</v>
      </c>
      <c r="K11" s="40" t="s">
        <v>14</v>
      </c>
      <c r="L11" s="33" t="s">
        <v>12</v>
      </c>
      <c r="M11" s="36"/>
      <c r="N11" s="34"/>
      <c r="O11" s="55"/>
    </row>
    <row r="12" spans="1:15" x14ac:dyDescent="0.3">
      <c r="A12" s="63">
        <v>10</v>
      </c>
      <c r="B12" s="36" t="s">
        <v>2</v>
      </c>
      <c r="C12" s="36">
        <v>1</v>
      </c>
      <c r="D12" s="64">
        <v>34</v>
      </c>
      <c r="E12" s="37" t="s">
        <v>6</v>
      </c>
      <c r="F12" s="38">
        <v>0</v>
      </c>
      <c r="H12" s="63">
        <v>10</v>
      </c>
      <c r="I12" s="42" t="s">
        <v>14</v>
      </c>
      <c r="J12" s="37" t="s">
        <v>14</v>
      </c>
      <c r="K12" s="40" t="s">
        <v>14</v>
      </c>
      <c r="L12" s="33" t="s">
        <v>12</v>
      </c>
      <c r="M12" s="36"/>
      <c r="N12" s="34"/>
      <c r="O12" s="55"/>
    </row>
    <row r="13" spans="1:15" x14ac:dyDescent="0.3">
      <c r="A13" s="63">
        <v>11</v>
      </c>
      <c r="B13" s="36" t="s">
        <v>2</v>
      </c>
      <c r="C13" s="36">
        <v>2</v>
      </c>
      <c r="D13" s="64">
        <v>35</v>
      </c>
      <c r="E13" s="37" t="s">
        <v>6</v>
      </c>
      <c r="F13" s="38">
        <v>0</v>
      </c>
      <c r="H13" s="63">
        <v>11</v>
      </c>
      <c r="I13" s="42" t="s">
        <v>14</v>
      </c>
      <c r="J13" s="37" t="s">
        <v>14</v>
      </c>
      <c r="K13" s="40" t="s">
        <v>14</v>
      </c>
      <c r="L13" s="33" t="s">
        <v>14</v>
      </c>
      <c r="M13" s="36" t="s">
        <v>12</v>
      </c>
      <c r="N13" s="34"/>
      <c r="O13" s="55"/>
    </row>
    <row r="14" spans="1:15" x14ac:dyDescent="0.3">
      <c r="A14" s="63">
        <v>12</v>
      </c>
      <c r="B14" s="36" t="s">
        <v>2</v>
      </c>
      <c r="C14" s="36">
        <v>1</v>
      </c>
      <c r="D14" s="64">
        <v>36</v>
      </c>
      <c r="E14" s="37" t="s">
        <v>6</v>
      </c>
      <c r="F14" s="38">
        <v>0</v>
      </c>
      <c r="H14" s="63">
        <v>12</v>
      </c>
      <c r="I14" s="42" t="s">
        <v>14</v>
      </c>
      <c r="J14" s="37" t="s">
        <v>14</v>
      </c>
      <c r="K14" s="40" t="s">
        <v>12</v>
      </c>
      <c r="L14" s="33"/>
      <c r="M14" s="36"/>
      <c r="N14" s="34"/>
      <c r="O14" s="55"/>
    </row>
    <row r="15" spans="1:15" x14ac:dyDescent="0.3">
      <c r="A15" s="63">
        <v>13</v>
      </c>
      <c r="B15" s="39" t="s">
        <v>3</v>
      </c>
      <c r="C15" s="39">
        <v>3</v>
      </c>
      <c r="D15" s="64">
        <v>37</v>
      </c>
      <c r="E15" s="40" t="s">
        <v>7</v>
      </c>
      <c r="F15" s="41">
        <v>0</v>
      </c>
      <c r="H15" s="63">
        <v>13</v>
      </c>
      <c r="I15" s="42" t="s">
        <v>14</v>
      </c>
      <c r="J15" s="37" t="s">
        <v>14</v>
      </c>
      <c r="K15" s="40" t="s">
        <v>14</v>
      </c>
      <c r="L15" s="33" t="s">
        <v>14</v>
      </c>
      <c r="M15" s="36" t="s">
        <v>14</v>
      </c>
      <c r="N15" s="34" t="s">
        <v>12</v>
      </c>
      <c r="O15" s="55"/>
    </row>
    <row r="16" spans="1:15" x14ac:dyDescent="0.3">
      <c r="A16" s="63">
        <v>14</v>
      </c>
      <c r="B16" s="39" t="s">
        <v>3</v>
      </c>
      <c r="C16" s="39">
        <v>4</v>
      </c>
      <c r="D16" s="64">
        <v>38</v>
      </c>
      <c r="E16" s="40" t="s">
        <v>7</v>
      </c>
      <c r="F16" s="41">
        <v>2</v>
      </c>
      <c r="H16" s="63">
        <v>14</v>
      </c>
      <c r="I16" s="42" t="s">
        <v>14</v>
      </c>
      <c r="J16" s="37" t="s">
        <v>14</v>
      </c>
      <c r="K16" s="40" t="s">
        <v>14</v>
      </c>
      <c r="L16" s="33" t="s">
        <v>14</v>
      </c>
      <c r="M16" s="36" t="s">
        <v>12</v>
      </c>
      <c r="N16" s="34"/>
      <c r="O16" s="55"/>
    </row>
    <row r="17" spans="1:15" x14ac:dyDescent="0.3">
      <c r="A17" s="63">
        <v>15</v>
      </c>
      <c r="B17" s="39" t="s">
        <v>3</v>
      </c>
      <c r="C17" s="39">
        <v>4</v>
      </c>
      <c r="D17" s="64">
        <v>39</v>
      </c>
      <c r="E17" s="40" t="s">
        <v>7</v>
      </c>
      <c r="F17" s="41">
        <v>4</v>
      </c>
      <c r="H17" s="63">
        <v>15</v>
      </c>
      <c r="I17" s="42" t="s">
        <v>14</v>
      </c>
      <c r="J17" s="37" t="s">
        <v>14</v>
      </c>
      <c r="K17" s="40" t="s">
        <v>14</v>
      </c>
      <c r="L17" s="33" t="s">
        <v>12</v>
      </c>
      <c r="M17" s="36"/>
      <c r="N17" s="34"/>
      <c r="O17" s="55"/>
    </row>
    <row r="18" spans="1:15" x14ac:dyDescent="0.3">
      <c r="A18" s="63">
        <v>16</v>
      </c>
      <c r="B18" s="39" t="s">
        <v>3</v>
      </c>
      <c r="C18" s="39">
        <v>3</v>
      </c>
      <c r="D18" s="64">
        <v>40</v>
      </c>
      <c r="E18" s="40" t="s">
        <v>7</v>
      </c>
      <c r="F18" s="41">
        <v>1</v>
      </c>
      <c r="H18" s="63">
        <v>16</v>
      </c>
      <c r="I18" s="42" t="s">
        <v>14</v>
      </c>
      <c r="J18" s="37" t="s">
        <v>14</v>
      </c>
      <c r="K18" s="40" t="s">
        <v>14</v>
      </c>
      <c r="L18" s="33" t="s">
        <v>12</v>
      </c>
      <c r="M18" s="36"/>
      <c r="N18" s="34"/>
      <c r="O18" s="55"/>
    </row>
    <row r="19" spans="1:15" x14ac:dyDescent="0.3">
      <c r="A19" s="63">
        <v>17</v>
      </c>
      <c r="B19" s="39" t="s">
        <v>3</v>
      </c>
      <c r="C19" s="39">
        <v>3</v>
      </c>
      <c r="D19" s="64">
        <v>41</v>
      </c>
      <c r="E19" s="40" t="s">
        <v>7</v>
      </c>
      <c r="F19" s="41">
        <v>3</v>
      </c>
      <c r="H19" s="63">
        <v>17</v>
      </c>
      <c r="I19" s="42" t="s">
        <v>14</v>
      </c>
      <c r="J19" s="37" t="s">
        <v>14</v>
      </c>
      <c r="K19" s="40" t="s">
        <v>12</v>
      </c>
      <c r="L19" s="33"/>
      <c r="M19" s="36"/>
      <c r="N19" s="34"/>
      <c r="O19" s="55"/>
    </row>
    <row r="20" spans="1:15" x14ac:dyDescent="0.3">
      <c r="A20" s="63">
        <v>18</v>
      </c>
      <c r="B20" s="39" t="s">
        <v>3</v>
      </c>
      <c r="C20" s="39">
        <v>3</v>
      </c>
      <c r="D20" s="64">
        <v>42</v>
      </c>
      <c r="E20" s="40" t="s">
        <v>7</v>
      </c>
      <c r="F20" s="41">
        <v>3</v>
      </c>
      <c r="H20" s="63">
        <v>18</v>
      </c>
      <c r="I20" s="42" t="s">
        <v>14</v>
      </c>
      <c r="J20" s="37" t="s">
        <v>14</v>
      </c>
      <c r="K20" s="40" t="s">
        <v>12</v>
      </c>
      <c r="L20" s="33"/>
      <c r="M20" s="36"/>
      <c r="N20" s="34"/>
      <c r="O20" s="55"/>
    </row>
    <row r="21" spans="1:15" x14ac:dyDescent="0.3">
      <c r="A21" s="63">
        <v>19</v>
      </c>
      <c r="B21" s="42" t="s">
        <v>4</v>
      </c>
      <c r="C21" s="42">
        <v>0</v>
      </c>
      <c r="D21" s="43"/>
      <c r="E21" s="43"/>
      <c r="F21" s="44"/>
      <c r="H21" s="63">
        <v>19</v>
      </c>
      <c r="I21" s="42" t="s">
        <v>14</v>
      </c>
      <c r="J21" s="37" t="s">
        <v>14</v>
      </c>
      <c r="K21" s="40" t="s">
        <v>14</v>
      </c>
      <c r="L21" s="33" t="s">
        <v>12</v>
      </c>
      <c r="M21" s="36"/>
      <c r="N21" s="34"/>
      <c r="O21" s="55"/>
    </row>
    <row r="22" spans="1:15" x14ac:dyDescent="0.3">
      <c r="A22" s="63">
        <v>20</v>
      </c>
      <c r="B22" s="42" t="s">
        <v>4</v>
      </c>
      <c r="C22" s="42">
        <v>0</v>
      </c>
      <c r="D22" s="43"/>
      <c r="E22" s="43"/>
      <c r="F22" s="44"/>
      <c r="H22" s="63">
        <v>20</v>
      </c>
      <c r="I22" s="42" t="s">
        <v>14</v>
      </c>
      <c r="J22" s="37" t="s">
        <v>14</v>
      </c>
      <c r="K22" s="40" t="s">
        <v>14</v>
      </c>
      <c r="L22" s="33" t="s">
        <v>12</v>
      </c>
      <c r="M22" s="36"/>
      <c r="N22" s="34"/>
      <c r="O22" s="55"/>
    </row>
    <row r="23" spans="1:15" x14ac:dyDescent="0.3">
      <c r="A23" s="63">
        <v>21</v>
      </c>
      <c r="B23" s="42" t="s">
        <v>4</v>
      </c>
      <c r="C23" s="42">
        <v>0</v>
      </c>
      <c r="D23" s="43"/>
      <c r="E23" s="43"/>
      <c r="F23" s="44"/>
      <c r="H23" s="63">
        <v>21</v>
      </c>
      <c r="I23" s="42" t="s">
        <v>14</v>
      </c>
      <c r="J23" s="37" t="s">
        <v>14</v>
      </c>
      <c r="K23" s="40" t="s">
        <v>12</v>
      </c>
      <c r="L23" s="33"/>
      <c r="M23" s="36"/>
      <c r="N23" s="34"/>
      <c r="O23" s="55"/>
    </row>
    <row r="24" spans="1:15" x14ac:dyDescent="0.3">
      <c r="A24" s="63">
        <v>22</v>
      </c>
      <c r="B24" s="42" t="s">
        <v>4</v>
      </c>
      <c r="C24" s="42">
        <v>0</v>
      </c>
      <c r="D24" s="43"/>
      <c r="E24" s="43"/>
      <c r="F24" s="44"/>
      <c r="H24" s="63">
        <v>22</v>
      </c>
      <c r="I24" s="42" t="s">
        <v>14</v>
      </c>
      <c r="J24" s="37" t="s">
        <v>14</v>
      </c>
      <c r="K24" s="40" t="s">
        <v>14</v>
      </c>
      <c r="L24" s="33" t="s">
        <v>14</v>
      </c>
      <c r="M24" s="36" t="s">
        <v>14</v>
      </c>
      <c r="N24" s="34" t="s">
        <v>12</v>
      </c>
      <c r="O24" s="55"/>
    </row>
    <row r="25" spans="1:15" x14ac:dyDescent="0.3">
      <c r="A25" s="63">
        <v>23</v>
      </c>
      <c r="B25" s="42" t="s">
        <v>4</v>
      </c>
      <c r="C25" s="42">
        <v>0</v>
      </c>
      <c r="D25" s="43"/>
      <c r="E25" s="43"/>
      <c r="F25" s="44"/>
      <c r="H25" s="63">
        <v>23</v>
      </c>
      <c r="I25" s="42" t="s">
        <v>14</v>
      </c>
      <c r="J25" s="37" t="s">
        <v>14</v>
      </c>
      <c r="K25" s="40" t="s">
        <v>14</v>
      </c>
      <c r="L25" s="33" t="s">
        <v>12</v>
      </c>
      <c r="M25" s="36"/>
      <c r="N25" s="34"/>
      <c r="O25" s="55"/>
    </row>
    <row r="26" spans="1:15" ht="15" thickBot="1" x14ac:dyDescent="0.35">
      <c r="A26" s="71">
        <v>24</v>
      </c>
      <c r="B26" s="45" t="s">
        <v>4</v>
      </c>
      <c r="C26" s="45">
        <v>0</v>
      </c>
      <c r="D26" s="46"/>
      <c r="E26" s="46"/>
      <c r="F26" s="47"/>
      <c r="H26" s="63">
        <v>24</v>
      </c>
      <c r="I26" s="42" t="s">
        <v>14</v>
      </c>
      <c r="J26" s="37" t="s">
        <v>14</v>
      </c>
      <c r="K26" s="40" t="s">
        <v>14</v>
      </c>
      <c r="L26" s="33" t="s">
        <v>12</v>
      </c>
      <c r="M26" s="36"/>
      <c r="N26" s="34"/>
      <c r="O26" s="55"/>
    </row>
    <row r="27" spans="1:15" ht="15" thickBot="1" x14ac:dyDescent="0.35">
      <c r="D27" s="31"/>
      <c r="H27" s="63">
        <v>25</v>
      </c>
      <c r="I27" s="42" t="s">
        <v>14</v>
      </c>
      <c r="J27" s="37" t="s">
        <v>14</v>
      </c>
      <c r="K27" s="40" t="s">
        <v>14</v>
      </c>
      <c r="L27" s="33" t="s">
        <v>14</v>
      </c>
      <c r="M27" s="36" t="s">
        <v>14</v>
      </c>
      <c r="N27" s="34" t="s">
        <v>12</v>
      </c>
      <c r="O27" s="55"/>
    </row>
    <row r="28" spans="1:15" x14ac:dyDescent="0.3">
      <c r="E28" s="17" t="s">
        <v>11</v>
      </c>
      <c r="F28" s="62" t="s">
        <v>12</v>
      </c>
      <c r="H28" s="63">
        <v>26</v>
      </c>
      <c r="I28" s="42" t="s">
        <v>14</v>
      </c>
      <c r="J28" s="37" t="s">
        <v>14</v>
      </c>
      <c r="K28" s="40" t="s">
        <v>14</v>
      </c>
      <c r="L28" s="33" t="s">
        <v>14</v>
      </c>
      <c r="M28" s="36" t="s">
        <v>12</v>
      </c>
      <c r="N28" s="34"/>
      <c r="O28" s="55"/>
    </row>
    <row r="29" spans="1:15" ht="15" thickBot="1" x14ac:dyDescent="0.35">
      <c r="E29" s="27" t="s">
        <v>13</v>
      </c>
      <c r="F29" s="47" t="s">
        <v>14</v>
      </c>
      <c r="H29" s="63">
        <v>27</v>
      </c>
      <c r="I29" s="42" t="s">
        <v>14</v>
      </c>
      <c r="J29" s="37" t="s">
        <v>14</v>
      </c>
      <c r="K29" s="40" t="s">
        <v>12</v>
      </c>
      <c r="L29" s="33"/>
      <c r="M29" s="36"/>
      <c r="N29" s="34"/>
      <c r="O29" s="55"/>
    </row>
    <row r="30" spans="1:15" x14ac:dyDescent="0.3">
      <c r="E30" s="31"/>
      <c r="F30" s="31"/>
      <c r="H30" s="63">
        <v>28</v>
      </c>
      <c r="I30" s="42" t="s">
        <v>14</v>
      </c>
      <c r="J30" s="37" t="s">
        <v>14</v>
      </c>
      <c r="K30" s="40" t="s">
        <v>12</v>
      </c>
      <c r="L30" s="33"/>
      <c r="M30" s="36"/>
      <c r="N30" s="34"/>
      <c r="O30" s="55"/>
    </row>
    <row r="31" spans="1:15" x14ac:dyDescent="0.3">
      <c r="D31" s="31"/>
      <c r="H31" s="63">
        <v>29</v>
      </c>
      <c r="I31" s="42" t="s">
        <v>14</v>
      </c>
      <c r="J31" s="37" t="s">
        <v>14</v>
      </c>
      <c r="K31" s="40" t="s">
        <v>12</v>
      </c>
      <c r="L31" s="33"/>
      <c r="M31" s="36"/>
      <c r="N31" s="34"/>
      <c r="O31" s="55"/>
    </row>
    <row r="32" spans="1:15" ht="15" thickBot="1" x14ac:dyDescent="0.35">
      <c r="D32" s="31"/>
      <c r="E32" s="31"/>
      <c r="F32" s="31"/>
      <c r="G32" s="31"/>
      <c r="H32" s="71">
        <v>30</v>
      </c>
      <c r="I32" s="45" t="s">
        <v>14</v>
      </c>
      <c r="J32" s="56" t="s">
        <v>14</v>
      </c>
      <c r="K32" s="57" t="s">
        <v>14</v>
      </c>
      <c r="L32" s="58" t="s">
        <v>12</v>
      </c>
      <c r="M32" s="59"/>
      <c r="N32" s="60"/>
      <c r="O32" s="61"/>
    </row>
    <row r="33" spans="4:15" x14ac:dyDescent="0.3">
      <c r="D33" s="31"/>
      <c r="E33" s="31"/>
      <c r="F33" s="31"/>
      <c r="G33" s="31"/>
    </row>
    <row r="34" spans="4:15" x14ac:dyDescent="0.3">
      <c r="D34" s="31"/>
      <c r="E34" s="31"/>
      <c r="F34" s="31"/>
      <c r="G34" s="31"/>
      <c r="H34" s="31"/>
      <c r="L34" s="31"/>
      <c r="M34" s="31"/>
      <c r="N34" s="31"/>
      <c r="O34" s="31"/>
    </row>
    <row r="35" spans="4:15" x14ac:dyDescent="0.3">
      <c r="D35" s="31"/>
      <c r="E35" s="31"/>
      <c r="F35" s="31"/>
      <c r="G35" s="31"/>
      <c r="H35" s="31"/>
      <c r="L35" s="31"/>
      <c r="M35" s="31"/>
      <c r="N35" s="31"/>
      <c r="O35" s="31"/>
    </row>
    <row r="36" spans="4:15" x14ac:dyDescent="0.3">
      <c r="D36" s="31"/>
      <c r="E36" s="31"/>
      <c r="F36" s="31"/>
      <c r="G36" s="31"/>
      <c r="H36" s="31"/>
      <c r="L36" s="31"/>
      <c r="M36" s="31"/>
      <c r="N36" s="31"/>
      <c r="O36" s="31"/>
    </row>
    <row r="37" spans="4:15" x14ac:dyDescent="0.3">
      <c r="D37" s="31"/>
      <c r="E37" s="31"/>
      <c r="F37" s="31"/>
      <c r="G37" s="31"/>
      <c r="H37" s="31"/>
      <c r="I37" s="31"/>
      <c r="J37" s="31"/>
      <c r="K37" s="31"/>
      <c r="L37" s="31"/>
      <c r="M37" s="31"/>
      <c r="N37" s="31"/>
      <c r="O37" s="31"/>
    </row>
    <row r="38" spans="4:15" x14ac:dyDescent="0.3"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</row>
    <row r="39" spans="4:15" x14ac:dyDescent="0.3">
      <c r="D39" s="31"/>
      <c r="E39" s="31"/>
      <c r="F39" s="31"/>
      <c r="G39" s="31"/>
      <c r="H39" s="31"/>
      <c r="I39" s="31"/>
      <c r="J39" s="31"/>
      <c r="K39" s="31"/>
      <c r="L39" s="31"/>
      <c r="M39" s="31"/>
      <c r="N39" s="31"/>
      <c r="O39" s="31"/>
    </row>
    <row r="40" spans="4:15" x14ac:dyDescent="0.3">
      <c r="D40" s="31"/>
      <c r="E40" s="31"/>
      <c r="F40" s="31"/>
      <c r="G40" s="31"/>
      <c r="H40" s="31"/>
      <c r="I40" s="31"/>
      <c r="J40" s="31"/>
      <c r="K40" s="31"/>
      <c r="L40" s="31"/>
      <c r="M40" s="31"/>
      <c r="N40" s="31"/>
      <c r="O40" s="31"/>
    </row>
    <row r="41" spans="4:15" x14ac:dyDescent="0.3">
      <c r="D41" s="31"/>
      <c r="E41" s="31"/>
      <c r="F41" s="31"/>
      <c r="G41" s="31"/>
      <c r="H41" s="31"/>
      <c r="I41" s="31"/>
      <c r="J41" s="31"/>
      <c r="K41" s="31"/>
      <c r="L41" s="31"/>
      <c r="M41" s="31"/>
      <c r="N41" s="31"/>
      <c r="O41" s="31"/>
    </row>
    <row r="42" spans="4:15" x14ac:dyDescent="0.3">
      <c r="D42" s="31"/>
      <c r="E42" s="31"/>
      <c r="F42" s="31"/>
      <c r="G42" s="31"/>
      <c r="H42" s="31"/>
      <c r="I42" s="31"/>
      <c r="J42" s="31"/>
      <c r="K42" s="31"/>
      <c r="L42" s="31"/>
      <c r="M42" s="31"/>
      <c r="N42" s="31"/>
      <c r="O42" s="31"/>
    </row>
    <row r="43" spans="4:15" x14ac:dyDescent="0.3">
      <c r="H43" s="31"/>
      <c r="I43" s="31"/>
      <c r="J43" s="31"/>
      <c r="K43" s="31"/>
      <c r="L43" s="31"/>
      <c r="M43" s="31"/>
      <c r="N43" s="31"/>
      <c r="O43" s="31"/>
    </row>
    <row r="44" spans="4:15" x14ac:dyDescent="0.3">
      <c r="H44" s="31"/>
      <c r="I44" s="31"/>
      <c r="J44" s="31"/>
      <c r="K44" s="31"/>
      <c r="L44" s="31"/>
      <c r="M44" s="31"/>
      <c r="N44" s="31"/>
      <c r="O44" s="31"/>
    </row>
  </sheetData>
  <mergeCells count="2">
    <mergeCell ref="A1:F1"/>
    <mergeCell ref="H1:O1"/>
  </mergeCells>
  <pageMargins left="0.7" right="0.7" top="0.75" bottom="0.75" header="0.3" footer="0.3"/>
  <pageSetup scale="91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Process 1</vt:lpstr>
      <vt:lpstr>Analysis P1</vt:lpstr>
      <vt:lpstr>Process 2</vt:lpstr>
      <vt:lpstr>Analysis P2</vt:lpstr>
      <vt:lpstr>Hypothesis Test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Karla van Dyk</dc:creator>
  <cp:lastModifiedBy>Karla van Dyk</cp:lastModifiedBy>
  <cp:lastPrinted>2025-06-02T13:45:32Z</cp:lastPrinted>
  <dcterms:created xsi:type="dcterms:W3CDTF">2025-05-28T11:37:24Z</dcterms:created>
  <dcterms:modified xsi:type="dcterms:W3CDTF">2025-06-03T14:14:45Z</dcterms:modified>
</cp:coreProperties>
</file>