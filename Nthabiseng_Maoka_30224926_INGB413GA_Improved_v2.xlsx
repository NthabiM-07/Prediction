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_GA4" sheetId="1" state="visible" r:id="rId3"/>
    <sheet name="P1_Data" sheetId="2" state="visible" r:id="rId4"/>
    <sheet name="P1_Analysis" sheetId="3" state="visible" r:id="rId5"/>
    <sheet name="P2_Data" sheetId="4" state="visible" r:id="rId6"/>
    <sheet name="P2_Analysis" sheetId="5" state="visible" r:id="rId7"/>
    <sheet name="Comparison_DPMO_Cost" sheetId="6" state="visible" r:id="rId8"/>
    <sheet name="Dashboard_Report_Tables" sheetId="7" state="visible" r:id="rId9"/>
  </sheets>
  <definedNames>
    <definedName function="false" hidden="true" localSheetId="1" name="_xlnm._FilterDatabase" vbProcedure="false">P1_Data!$A$6:$X$48</definedName>
    <definedName function="false" hidden="true" localSheetId="3" name="_xlnm._FilterDatabase" vbProcedure="false">P2_Data!$A$6:$S$36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<sst xmlns="http://schemas.openxmlformats.org/spreadsheetml/2006/main" count="1286" uniqueCount="376">
  <si>
    <t xml:space="preserve">INGB413 GA — Tangra Inc. Quality Assurance Workbook</t>
  </si>
  <si>
    <t xml:space="preserve">Author: Nthabiseng Maoka (30224926)</t>
  </si>
  <si>
    <t xml:space="preserve">Subject: Statistical Process Control &amp; Process Capability — comparison of two assembly processes</t>
  </si>
  <si>
    <t xml:space="preserve">Prepared: 2026-05-29</t>
  </si>
  <si>
    <t xml:space="preserve">Purpose</t>
  </si>
  <si>
    <t xml:space="preserve">This workbook analyses defect data from two tangram-assembly processes at Tangra Inc. using attribute control charts, performs a two-round (Phase 1) p-chart study, compares the two processes via a two-proportion z-test and process-capability (DPMO) metrics, and derives a cost/throughput-based recommendation.</t>
  </si>
  <si>
    <t xml:space="preserve">Data Integrity Note</t>
  </si>
  <si>
    <t xml:space="preserve">All values are transcribed from the recorded process observations (process_1.pdf / process_2.pdf, as captured in the supplied data file). No defect counts were invented or inflated. Each P1/P2 row carries a Data_Source_Type label. "Raw observed" = directly recorded; "Cleaned from notes" = same observation, tidied into tabular form. No synthetic rows are presented as observed data.</t>
  </si>
  <si>
    <t xml:space="preserve">Defect vs Defective</t>
  </si>
  <si>
    <t xml:space="preserve">Term</t>
  </si>
  <si>
    <t xml:space="preserve">Definition (operational)</t>
  </si>
  <si>
    <t xml:space="preserve">Defect</t>
  </si>
  <si>
    <t xml:space="preserve">One nonconforming feature on a puzzle piece (chip, warp, wrong cut, colour fault).</t>
  </si>
  <si>
    <t xml:space="preserve">Defective piece</t>
  </si>
  <si>
    <t xml:space="preserve">A single puzzle piece that cannot be used in assembly.</t>
  </si>
  <si>
    <t xml:space="preserve">Defective assembly</t>
  </si>
  <si>
    <t xml:space="preserve">A figurine / semi-assembly that cannot be shipped because a defective piece was used.</t>
  </si>
  <si>
    <t xml:space="preserve">Non-defective assembly</t>
  </si>
  <si>
    <t xml:space="preserve">A complete figurine with all seven pieces fitting correctly.</t>
  </si>
  <si>
    <t xml:space="preserve">Chart Selection Logic</t>
  </si>
  <si>
    <t xml:space="preserve">Process</t>
  </si>
  <si>
    <t xml:space="preserve">Data type</t>
  </si>
  <si>
    <t xml:space="preserve">Chart</t>
  </si>
  <si>
    <t xml:space="preserve">Why</t>
  </si>
  <si>
    <t xml:space="preserve">P1</t>
  </si>
  <si>
    <t xml:space="preserve">Attribute, fixed n=5</t>
  </si>
  <si>
    <t xml:space="preserve">p-chart</t>
  </si>
  <si>
    <t xml:space="preserve">Proportion defective per sample; primary rubric chart.</t>
  </si>
  <si>
    <t xml:space="preserve">np-chart</t>
  </si>
  <si>
    <t xml:space="preserve">Count defective; valid because n is constant. Confirms p-chart.</t>
  </si>
  <si>
    <t xml:space="preserve">Categorical</t>
  </si>
  <si>
    <t xml:space="preserve">Pareto</t>
  </si>
  <si>
    <t xml:space="preserve">Ranks defect contribution by colour to target assignable causes.</t>
  </si>
  <si>
    <t xml:space="preserve">P2</t>
  </si>
  <si>
    <t xml:space="preserve">Count, varying opportunity</t>
  </si>
  <si>
    <t xml:space="preserve">u-chart</t>
  </si>
  <si>
    <t xml:space="preserve">Defects per varying pieces-placed opportunity.</t>
  </si>
  <si>
    <t xml:space="preserve">Geometric</t>
  </si>
  <si>
    <t xml:space="preserve">g-chart (approx.)</t>
  </si>
  <si>
    <t xml:space="preserve">Acceptable pieces before first defect; higher = better.</t>
  </si>
  <si>
    <t xml:space="preserve">Both</t>
  </si>
  <si>
    <t xml:space="preserve">Proportions</t>
  </si>
  <si>
    <t xml:space="preserve">2-prop z-test</t>
  </si>
  <si>
    <t xml:space="preserve">Tests whether the two processes differ in defect rate.</t>
  </si>
  <si>
    <t xml:space="preserve">GA4 Alignment</t>
  </si>
  <si>
    <t xml:space="preserve">GA4 component</t>
  </si>
  <si>
    <t xml:space="preserve">How workbook addresses it</t>
  </si>
  <si>
    <t xml:space="preserve">Evidence sheet</t>
  </si>
  <si>
    <t xml:space="preserve">Research method</t>
  </si>
  <si>
    <t xml:space="preserve">Structured attribute sampling (n=5) and run-based assembly sampling; two-phase SPC method.</t>
  </si>
  <si>
    <t xml:space="preserve">P1_Data, P2_Data</t>
  </si>
  <si>
    <t xml:space="preserve">Research-based knowledge</t>
  </si>
  <si>
    <t xml:space="preserve">Montgomery SPC formulae for p/np/u charts and capability; 2-sigma DPMO benchmark.</t>
  </si>
  <si>
    <t xml:space="preserve">P1_Analysis, Comparison</t>
  </si>
  <si>
    <t xml:space="preserve">Design of experiments</t>
  </si>
  <si>
    <t xml:space="preserve">Two competing processes observed under comparable conditions; defined defect criteria.</t>
  </si>
  <si>
    <t xml:space="preserve">README, P1/P2_Data</t>
  </si>
  <si>
    <t xml:space="preserve">Analysis &amp; interpretation</t>
  </si>
  <si>
    <t xml:space="preserve">Two-round p-chart, control-limit calc, Pareto, z-test, cost/throughput.</t>
  </si>
  <si>
    <t xml:space="preserve">P1/P2_Analysis, Comparison</t>
  </si>
  <si>
    <t xml:space="preserve">Synthesis of conclusions</t>
  </si>
  <si>
    <t xml:space="preserve">Integrated recommendation from stability, DPMO, cost and throughput.</t>
  </si>
  <si>
    <t xml:space="preserve">Dashboard_Report_Tables</t>
  </si>
  <si>
    <t xml:space="preserve">Key Assumptions</t>
  </si>
  <si>
    <t xml:space="preserve">• Sample size for Process 1 is fixed at n = 5 pieces.</t>
  </si>
  <si>
    <t xml:space="preserve">• Process 1 total: 76 defects over 210 inspected pieces (42 samples).</t>
  </si>
  <si>
    <t xml:space="preserve">• Process 2: 30 assembly runs, 30 defect events over 121 pieces-placed opportunities.</t>
  </si>
  <si>
    <t xml:space="preserve">• Cost inputs: piece R2, board R5, discarded semi-assembly R20, selling price R25.</t>
  </si>
  <si>
    <t xml:space="preserve">• 2-sigma capability benchmark = 308,537 DPMO.</t>
  </si>
  <si>
    <t xml:space="preserve">• Control limits use 3-sigma (action) with 1- and 2-sigma zones shown for context.</t>
  </si>
  <si>
    <t xml:space="preserve">Process 1 — Inspection Data (bulk feed, n=5, defectives removed before assembly)</t>
  </si>
  <si>
    <t xml:space="preserve">Provenance: Defects_d, Colour, n = Raw observed (transcribed counts). Time_Band/Process_Step/Sampling_Mode/Shape/Supplier_or_Bin/Specific_Defect_Type/Assignable_Cause = Reconstructed classification (derived, NOT per-piece recorded). p_i, np_i, Nondefective_Count = formula. Defect criterion: chipped/warped/mis-cut/off-colour piece unusable. p_i=Defects_d/5.</t>
  </si>
  <si>
    <t xml:space="preserve">Sample_ID</t>
  </si>
  <si>
    <t xml:space="preserve">Data_Source_Type</t>
  </si>
  <si>
    <t xml:space="preserve">Phase</t>
  </si>
  <si>
    <t xml:space="preserve">Time_Band</t>
  </si>
  <si>
    <t xml:space="preserve">Process_Step</t>
  </si>
  <si>
    <t xml:space="preserve">Sampling_Mode</t>
  </si>
  <si>
    <t xml:space="preserve">Colour</t>
  </si>
  <si>
    <t xml:space="preserve">Shape</t>
  </si>
  <si>
    <t xml:space="preserve">Supplier_or_Bin</t>
  </si>
  <si>
    <t xml:space="preserve">n</t>
  </si>
  <si>
    <t xml:space="preserve">Defects_d</t>
  </si>
  <si>
    <t xml:space="preserve">Nondefective_Count</t>
  </si>
  <si>
    <t xml:space="preserve">p_i</t>
  </si>
  <si>
    <t xml:space="preserve">np_i</t>
  </si>
  <si>
    <t xml:space="preserve">Inspection_Result</t>
  </si>
  <si>
    <t xml:space="preserve">Final_Assembly_ID</t>
  </si>
  <si>
    <t xml:space="preserve">Final_Product_Defective</t>
  </si>
  <si>
    <t xml:space="preserve">Defects_in_Final_Assembly</t>
  </si>
  <si>
    <t xml:space="preserve">Specific_Defect_Type</t>
  </si>
  <si>
    <t xml:space="preserve">Assignable_Cause_Flag</t>
  </si>
  <si>
    <t xml:space="preserve">Assignable_Cause_Category</t>
  </si>
  <si>
    <t xml:space="preserve">Assignable_Cause_Description</t>
  </si>
  <si>
    <t xml:space="preserve">Operator_Comment</t>
  </si>
  <si>
    <t xml:space="preserve">Analysis_Use</t>
  </si>
  <si>
    <t xml:space="preserve">Raw observed</t>
  </si>
  <si>
    <t xml:space="preserve">Phase 1</t>
  </si>
  <si>
    <t xml:space="preserve">Early</t>
  </si>
  <si>
    <t xml:space="preserve">Incoming inspection</t>
  </si>
  <si>
    <t xml:space="preserve">Colour-grouped sample</t>
  </si>
  <si>
    <t xml:space="preserve">Red</t>
  </si>
  <si>
    <t xml:space="preserve">Large triangle</t>
  </si>
  <si>
    <t xml:space="preserve">Supplier A</t>
  </si>
  <si>
    <t xml:space="preserve">See colour-level note</t>
  </si>
  <si>
    <t xml:space="preserve">None</t>
  </si>
  <si>
    <t xml:space="preserve">Within expected colour variation</t>
  </si>
  <si>
    <t xml:space="preserve">Routine</t>
  </si>
  <si>
    <t xml:space="preserve">SPC + Pareto</t>
  </si>
  <si>
    <t xml:space="preserve">Supplier-related defect concentration</t>
  </si>
  <si>
    <t xml:space="preserve">Red block shows elevated defect rate; possible supplier/bin issue</t>
  </si>
  <si>
    <t xml:space="preserve">High-defect colour batch</t>
  </si>
  <si>
    <t xml:space="preserve">Yellow</t>
  </si>
  <si>
    <t xml:space="preserve">Medium triangle</t>
  </si>
  <si>
    <t xml:space="preserve">Yellow block shows elevated defect rate; possible supplier/bin issue</t>
  </si>
  <si>
    <t xml:space="preserve">White</t>
  </si>
  <si>
    <t xml:space="preserve">Small triangle</t>
  </si>
  <si>
    <t xml:space="preserve">White block shows elevated defect rate; possible supplier/bin issue</t>
  </si>
  <si>
    <t xml:space="preserve">Middle</t>
  </si>
  <si>
    <t xml:space="preserve">Light Blue</t>
  </si>
  <si>
    <t xml:space="preserve">Supplier C</t>
  </si>
  <si>
    <t xml:space="preserve">Dark Blue</t>
  </si>
  <si>
    <t xml:space="preserve">Parallelogram</t>
  </si>
  <si>
    <t xml:space="preserve">Supplier B</t>
  </si>
  <si>
    <t xml:space="preserve">Late</t>
  </si>
  <si>
    <t xml:space="preserve">Green</t>
  </si>
  <si>
    <t xml:space="preserve">Orange</t>
  </si>
  <si>
    <t xml:space="preserve">Square</t>
  </si>
  <si>
    <t xml:space="preserve">TOTAL</t>
  </si>
  <si>
    <t xml:space="preserve">Legend:</t>
  </si>
  <si>
    <t xml:space="preserve">Reconstructed classification</t>
  </si>
  <si>
    <t xml:space="preserve">Assignable-cause flagged</t>
  </si>
  <si>
    <t xml:space="preserve">Process 1 — p-chart Analysis (Phase 1: Round 1 → remove OOC → Round 2) + np-chart + Pareto</t>
  </si>
  <si>
    <t xml:space="preserve">ROUND 1 PARAMETERS</t>
  </si>
  <si>
    <t xml:space="preserve">np-CHART</t>
  </si>
  <si>
    <t xml:space="preserve">Total defects</t>
  </si>
  <si>
    <t xml:space="preserve">np_bar</t>
  </si>
  <si>
    <t xml:space="preserve">Sample</t>
  </si>
  <si>
    <t xml:space="preserve">CL (p̄)</t>
  </si>
  <si>
    <t xml:space="preserve">UCL_3σ</t>
  </si>
  <si>
    <t xml:space="preserve">LCL_3σ</t>
  </si>
  <si>
    <t xml:space="preserve">Out_of_Control</t>
  </si>
  <si>
    <t xml:space="preserve">Total pieces</t>
  </si>
  <si>
    <t xml:space="preserve">UCL 3s</t>
  </si>
  <si>
    <t xml:space="preserve">LCL 3s</t>
  </si>
  <si>
    <t xml:space="preserve">p_bar</t>
  </si>
  <si>
    <t xml:space="preserve">UCL 2s</t>
  </si>
  <si>
    <t xml:space="preserve">SE</t>
  </si>
  <si>
    <t xml:space="preserve">LCL 2s</t>
  </si>
  <si>
    <t xml:space="preserve">npCL</t>
  </si>
  <si>
    <t xml:space="preserve">npUCL3</t>
  </si>
  <si>
    <t xml:space="preserve">npLCL3</t>
  </si>
  <si>
    <t xml:space="preserve">UCL 1s</t>
  </si>
  <si>
    <t xml:space="preserve">LCL 1s</t>
  </si>
  <si>
    <t xml:space="preserve">ROUND 2 PARAMETERS (OOC points excluded)</t>
  </si>
  <si>
    <t xml:space="preserve">Rule: exclude samples with p_i outside Round-1 3σ limits, then recompute.</t>
  </si>
  <si>
    <t xml:space="preserve">Defects (incl.)</t>
  </si>
  <si>
    <t xml:space="preserve">Pieces (incl.)</t>
  </si>
  <si>
    <t xml:space="preserve">p_bar R2</t>
  </si>
  <si>
    <t xml:space="preserve">SE R2</t>
  </si>
  <si>
    <t xml:space="preserve">UCL 3s R2</t>
  </si>
  <si>
    <t xml:space="preserve">LCL 3s R2</t>
  </si>
  <si>
    <t xml:space="preserve">Western Electric Rule Checks (np-chart basis)</t>
  </si>
  <si>
    <t xml:space="preserve">Rule</t>
  </si>
  <si>
    <t xml:space="preserve">Description</t>
  </si>
  <si>
    <t xml:space="preserve">Triggered?</t>
  </si>
  <si>
    <t xml:space="preserve">Rule 1</t>
  </si>
  <si>
    <t xml:space="preserve">1 point beyond 3σ</t>
  </si>
  <si>
    <t xml:space="preserve">Rule 2</t>
  </si>
  <si>
    <t xml:space="preserve">2 of 3 beyond 2σ same side</t>
  </si>
  <si>
    <t xml:space="preserve">Rule 3</t>
  </si>
  <si>
    <t xml:space="preserve">4 of 5 beyond 1σ same side</t>
  </si>
  <si>
    <t xml:space="preserve">Manual review</t>
  </si>
  <si>
    <t xml:space="preserve">Rule 4</t>
  </si>
  <si>
    <t xml:space="preserve">8 consecutive one side of CL</t>
  </si>
  <si>
    <t xml:space="preserve">Note: with n=5 the p-chart cannot trigger Rule 1; np-chart used as the sensitive attribute chart.</t>
  </si>
  <si>
    <t xml:space="preserve">Descriptive statistics &amp; interpretation</t>
  </si>
  <si>
    <t xml:space="preserve">Samples</t>
  </si>
  <si>
    <t xml:space="preserve">Mean defects/sample</t>
  </si>
  <si>
    <t xml:space="preserve">St.dev defects</t>
  </si>
  <si>
    <t xml:space="preserve">Max p_i</t>
  </si>
  <si>
    <t xml:space="preserve">Min p_i</t>
  </si>
  <si>
    <t xml:space="preserve">p_bar Round 1</t>
  </si>
  <si>
    <t xml:space="preserve">p_bar Round 2</t>
  </si>
  <si>
    <t xml:space="preserve">Interpretation: In Round 1 the process centre line is p̄ ≈ 0.36, i.e. about 36% of inspected pieces are defective — extremely high. Light Blue and Green samples sit at p=0, well below the lower limit pattern, while White/Yellow/Red runs are near the top. Because whole colour blocks behave differently, the variation is not purely common-cause: colour (supplier/bin) is an assignable cause. Round 2 recalculates the limits after excluding points outside the Round-1 3σ band; the comparison of p̄ and limits between rounds shows how much those points distorted the baseline. The Pareto confirms White, Yellow and Red dominate defect contribution and should be targeted first.</t>
  </si>
  <si>
    <t xml:space="preserve">Small-sample note: Because Process 1 uses a small sample size of n = 5, the p-chart limits are very wide. The 3-sigma limits are capped at 0 and 1, which reduces the chart’s sensitivity. Therefore, the np-chart, Pareto chart and colour-level defect analysis are used as supporting evidence for identifying assignable causes.</t>
  </si>
  <si>
    <t xml:space="preserve">Assignable Cause Analysis — Process 1</t>
  </si>
  <si>
    <t xml:space="preserve">Sample_or_Run</t>
  </si>
  <si>
    <t xml:space="preserve">Signal_Observed</t>
  </si>
  <si>
    <t xml:space="preserve">Possible_Assignable_Cause</t>
  </si>
  <si>
    <t xml:space="preserve">Evidence_From_Data</t>
  </si>
  <si>
    <t xml:space="preserve">Retain_or_Exclude</t>
  </si>
  <si>
    <t xml:space="preserve">Reason</t>
  </si>
  <si>
    <t xml:space="preserve">Recommended_Action</t>
  </si>
  <si>
    <t xml:space="preserve">White block (13-18)</t>
  </si>
  <si>
    <t xml:space="preserve">All p_i high (0.6-0.8)</t>
  </si>
  <si>
    <t xml:space="preserve">White=20 defects, highest Pareto contributor</t>
  </si>
  <si>
    <t xml:space="preserve">Retain</t>
  </si>
  <si>
    <t xml:space="preserve">Consistent pattern, not a one-off error; reflects true process</t>
  </si>
  <si>
    <t xml:space="preserve">Audit White-piece supplier / incoming QC</t>
  </si>
  <si>
    <t xml:space="preserve">Light Blue (19-24)</t>
  </si>
  <si>
    <t xml:space="preserve">All p_i = 0</t>
  </si>
  <si>
    <t xml:space="preserve">Different supplier/bin or inspection focus change</t>
  </si>
  <si>
    <t xml:space="preserve">6 consecutive zero-defect samples</t>
  </si>
  <si>
    <t xml:space="preserve">Genuine low-defect colour; informative, not an error</t>
  </si>
  <si>
    <t xml:space="preserve">Use as benchmark colour</t>
  </si>
  <si>
    <t xml:space="preserve">Green (31-36)</t>
  </si>
  <si>
    <t xml:space="preserve">Same as Light Blue</t>
  </si>
  <si>
    <t xml:space="preserve">6 consecutive zeros</t>
  </si>
  <si>
    <t xml:space="preserve">Genuine</t>
  </si>
  <si>
    <t xml:space="preserve">Benchmark</t>
  </si>
  <si>
    <t xml:space="preserve">Yellow/Red blocks</t>
  </si>
  <si>
    <t xml:space="preserve">Elevated p_i</t>
  </si>
  <si>
    <t xml:space="preserve">Colour focus change / supplier</t>
  </si>
  <si>
    <t xml:space="preserve">14 defects each</t>
  </si>
  <si>
    <t xml:space="preserve">True variation</t>
  </si>
  <si>
    <t xml:space="preserve">Target in improvement plan</t>
  </si>
  <si>
    <t xml:space="preserve">No single 3σ outlier</t>
  </si>
  <si>
    <t xml:space="preserve">n=5 limits capped</t>
  </si>
  <si>
    <t xml:space="preserve">UCL=1,LCL=0</t>
  </si>
  <si>
    <t xml:space="preserve">N/A</t>
  </si>
  <si>
    <t xml:space="preserve">No defensible single-point exclusion exists</t>
  </si>
  <si>
    <t xml:space="preserve">Round 2 ≈ Round 1</t>
  </si>
  <si>
    <t xml:space="preserve">Round 2 conclusion: No individual subgroup lies outside the (capped) 3σ p-chart limits, so there is no defensible single-point exclusion. Round 2 limits therefore equal Round 1 (p̄≈0.36). The real signal is the between-colour (assignable) variation identified via Pareto and the np-chart, not a rogue subgroup.</t>
  </si>
  <si>
    <t xml:space="preserve">Process 2 — Assembly Run Data (colour-binned feed; first defect discards whole semi-assembly)</t>
  </si>
  <si>
    <t xml:space="preserve">Provenance: Pieces_Before_Defect_g, Defect_Found, Opportunity = Raw observed. Defect_Colour per run = Reconstructed (aggregate colour totals preserved: Orange 10 / Red 10 / Yellow 4 / Dark Blue 4). Time_Band/Pick_Order/Colour_Sequence/Assignable_Cause = Reconstructed classification. g=acceptable pieces before defect (higher=better). u_i=Defect/Opportunity.</t>
  </si>
  <si>
    <t xml:space="preserve">Run_ID</t>
  </si>
  <si>
    <t xml:space="preserve">Pick_Order</t>
  </si>
  <si>
    <t xml:space="preserve">Colour_Sequence</t>
  </si>
  <si>
    <t xml:space="preserve">Defect_Colour</t>
  </si>
  <si>
    <t xml:space="preserve">Pieces_Before_Defect_g</t>
  </si>
  <si>
    <t xml:space="preserve">Pieces_Placed_Including_Defect</t>
  </si>
  <si>
    <t xml:space="preserve">Defect_Found_1_0</t>
  </si>
  <si>
    <t xml:space="preserve">Assembly_Discarded_1_0</t>
  </si>
  <si>
    <t xml:space="preserve">Completed_Assembly_1_0</t>
  </si>
  <si>
    <t xml:space="preserve">Opportunity_Count</t>
  </si>
  <si>
    <t xml:space="preserve">u_i</t>
  </si>
  <si>
    <t xml:space="preserve">Raw observed (colour: Reconstructed)</t>
  </si>
  <si>
    <t xml:space="preserve">4+1</t>
  </si>
  <si>
    <t xml:space="preserve">Mixed→Red</t>
  </si>
  <si>
    <t xml:space="preserve">Defect encountered mid-assembly</t>
  </si>
  <si>
    <t xml:space="preserve">Routine discard</t>
  </si>
  <si>
    <t xml:space="preserve">g-chart + u-chart + Pareto</t>
  </si>
  <si>
    <t xml:space="preserve">3+1</t>
  </si>
  <si>
    <t xml:space="preserve">Mixed→Orange</t>
  </si>
  <si>
    <t xml:space="preserve">High-defect colour reached early</t>
  </si>
  <si>
    <t xml:space="preserve">Orange (high-defect colour) picked at position 4, early discard</t>
  </si>
  <si>
    <t xml:space="preserve">Early high-defect-colour discard</t>
  </si>
  <si>
    <t xml:space="preserve">6+1</t>
  </si>
  <si>
    <t xml:space="preserve">Mixed→Dark Blue</t>
  </si>
  <si>
    <t xml:space="preserve">5+1</t>
  </si>
  <si>
    <t xml:space="preserve">Mixed→Yellow</t>
  </si>
  <si>
    <t xml:space="preserve">Process 2 — u-chart + g-chart + Pareto</t>
  </si>
  <si>
    <t xml:space="preserve">PARAMETERS</t>
  </si>
  <si>
    <t xml:space="preserve">Total opportunities</t>
  </si>
  <si>
    <t xml:space="preserve">u_bar</t>
  </si>
  <si>
    <t xml:space="preserve">g_bar</t>
  </si>
  <si>
    <t xml:space="preserve">p_hat=1/(g_bar+1)</t>
  </si>
  <si>
    <t xml:space="preserve">Run</t>
  </si>
  <si>
    <t xml:space="preserve">g-chart (geometric approx., higher = better)</t>
  </si>
  <si>
    <t xml:space="preserve">g_i</t>
  </si>
  <si>
    <t xml:space="preserve">g-chart boundary note</t>
  </si>
  <si>
    <t xml:space="preserve">The calculated geometric UCL exceeds the physical maximum of seven pieces. Therefore, the g-chart is interpreted as a relative monitoring chart, while the practical upper boundary is seven pieces, representing a completed defect-free assembly. (UCL is capped at 7 in the table for realism.)</t>
  </si>
  <si>
    <t xml:space="preserve">PARETO — Process 2 defects by colour</t>
  </si>
  <si>
    <t xml:space="preserve">Defects</t>
  </si>
  <si>
    <t xml:space="preserve">Cum %</t>
  </si>
  <si>
    <t xml:space="preserve">Western Electric Rule Checks (u-chart)</t>
  </si>
  <si>
    <t xml:space="preserve">2 of 3 beyond 2σ</t>
  </si>
  <si>
    <t xml:space="preserve">8 consecutive one side</t>
  </si>
  <si>
    <t xml:space="preserve">Interpretation: Process 2 averages g≈4 acceptable pieces before a defect forces a discard, so most runs fail before the full seven-piece figurine is completed. The u-chart shows defects-per-opportunity scattered around ū with run-specific limits (limits widen for shorter runs). Pareto shows Orange and Red dominate the discard-causing defects, mirroring Process 1 and pointing to the same supplier/colour assignable cause. A higher g is operationally favourable; a hypothetical full assembly (g=7) would be statistically high but a good outcome, not an alarm.</t>
  </si>
  <si>
    <t xml:space="preserve">Assignable Cause Analysis — Process 2</t>
  </si>
  <si>
    <t xml:space="preserve">Runs with g≤3</t>
  </si>
  <si>
    <t xml:space="preserve">Early discard</t>
  </si>
  <si>
    <t xml:space="preserve">Orange/Red dominate Pareto, discarded early</t>
  </si>
  <si>
    <t xml:space="preserve">True operational pattern</t>
  </si>
  <si>
    <t xml:space="preserve">Re-order bin pick sequence; place low-defect colours first</t>
  </si>
  <si>
    <t xml:space="preserve">Orange/Red runs</t>
  </si>
  <si>
    <t xml:space="preserve">Frequent discards</t>
  </si>
  <si>
    <t xml:space="preserve">Orange 10 + Red 10 = 67% of defects</t>
  </si>
  <si>
    <t xml:space="preserve">Supplier audit</t>
  </si>
  <si>
    <t xml:space="preserve">Runs with g=6</t>
  </si>
  <si>
    <t xml:space="preserve">Late defect</t>
  </si>
  <si>
    <t xml:space="preserve">Favourable (near completion)</t>
  </si>
  <si>
    <t xml:space="preserve">High g operationally good</t>
  </si>
  <si>
    <t xml:space="preserve">Not an alarm</t>
  </si>
  <si>
    <t xml:space="preserve">None needed</t>
  </si>
  <si>
    <t xml:space="preserve">No g=7 observed</t>
  </si>
  <si>
    <t xml:space="preserve">No completed assemblies</t>
  </si>
  <si>
    <t xml:space="preserve">Process feeds high-defect material</t>
  </si>
  <si>
    <t xml:space="preserve">0 completed in 30 runs</t>
  </si>
  <si>
    <t xml:space="preserve">Reflects current capability</t>
  </si>
  <si>
    <t xml:space="preserve">Reduce upstream defects</t>
  </si>
  <si>
    <t xml:space="preserve">Process Comparison — DPMO, Hypothesis Test, Cost &amp; Throughput</t>
  </si>
  <si>
    <t xml:space="preserve">1. DPMO &amp; 2-sigma capability</t>
  </si>
  <si>
    <t xml:space="preserve">3. Cost &amp; Throughput</t>
  </si>
  <si>
    <t xml:space="preserve">Metric</t>
  </si>
  <si>
    <t xml:space="preserve">Process 1</t>
  </si>
  <si>
    <t xml:space="preserve">Process 2</t>
  </si>
  <si>
    <t xml:space="preserve">Better</t>
  </si>
  <si>
    <t xml:space="preserve">Assumptions (P2 time = 30 runs × ~0.307 min; completed assemblies from source = 0)</t>
  </si>
  <si>
    <t xml:space="preserve">Piece cost (R)</t>
  </si>
  <si>
    <t xml:space="preserve">Board cost (R)</t>
  </si>
  <si>
    <t xml:space="preserve">Defect rate (p)</t>
  </si>
  <si>
    <t xml:space="preserve">Discard cost (R)</t>
  </si>
  <si>
    <t xml:space="preserve">DPMO</t>
  </si>
  <si>
    <t xml:space="preserve">Selling price (R)</t>
  </si>
  <si>
    <t xml:space="preserve">2-sigma benchmark</t>
  </si>
  <si>
    <t xml:space="preserve">P1 completed assemblies</t>
  </si>
  <si>
    <t xml:space="preserve">Meets 2-sigma? (DPMO&lt;bench)</t>
  </si>
  <si>
    <t xml:space="preserve">P2 completed assemblies</t>
  </si>
  <si>
    <t xml:space="preserve">P1 time (min)</t>
  </si>
  <si>
    <t xml:space="preserve">Process 1 fails the 2-sigma benchmark (361,905 &gt; 308,537 DPMO); Process 2 passes (198,675 &lt; 308,537).</t>
  </si>
  <si>
    <t xml:space="preserve">P2 time (min)</t>
  </si>
  <si>
    <t xml:space="preserve">2. Two-proportion z-test (H0: p1=p2  vs  H1: p1≠p2)</t>
  </si>
  <si>
    <t xml:space="preserve">x1 (P1 defects)</t>
  </si>
  <si>
    <t xml:space="preserve">Cost / output</t>
  </si>
  <si>
    <t xml:space="preserve">n1 (P1 pieces)</t>
  </si>
  <si>
    <t xml:space="preserve">Pieces consumed</t>
  </si>
  <si>
    <t xml:space="preserve">x2 (P2 defects)</t>
  </si>
  <si>
    <t xml:space="preserve">Material (pieces) cost</t>
  </si>
  <si>
    <t xml:space="preserve">n2 (P2 opp.)</t>
  </si>
  <si>
    <t xml:space="preserve">Discard cost</t>
  </si>
  <si>
    <t xml:space="preserve">p1</t>
  </si>
  <si>
    <t xml:space="preserve">Revenue (completed×price)</t>
  </si>
  <si>
    <t xml:space="preserve">p2</t>
  </si>
  <si>
    <t xml:space="preserve">Total cost</t>
  </si>
  <si>
    <t xml:space="preserve">pooled p</t>
  </si>
  <si>
    <t xml:space="preserve">Profit / (loss)</t>
  </si>
  <si>
    <t xml:space="preserve">Throughput (assemblies)</t>
  </si>
  <si>
    <t xml:space="preserve">z</t>
  </si>
  <si>
    <t xml:space="preserve">Defect rate</t>
  </si>
  <si>
    <t xml:space="preserve">p-value (two-tailed)</t>
  </si>
  <si>
    <t xml:space="preserve">Decision (α=0.05)</t>
  </si>
  <si>
    <t xml:space="preserve">Interpretation: with p1≈0.36 and p2≈0.20, the two-tailed z-test (z≈3.36, p≈0.0008) rejects H0 — the two processes differ significantly in defect proportion, with Process 2 markedly lower. Opportunity for P2 is defined as pieces placed including the defective piece (g+1 per discarded run), giving 151 opportunities over 30 runs.</t>
  </si>
  <si>
    <t xml:space="preserve">Chart data</t>
  </si>
  <si>
    <t xml:space="preserve">Total cost (R)</t>
  </si>
  <si>
    <t xml:space="preserve">Tangra Inc. — SPC Dashboard &amp; Report Tables</t>
  </si>
  <si>
    <t xml:space="preserve">P1 p̄ (defect rate)</t>
  </si>
  <si>
    <t xml:space="preserve">P2 defect rate</t>
  </si>
  <si>
    <t xml:space="preserve">P1 DPMO</t>
  </si>
  <si>
    <t xml:space="preserve">P2 DPMO</t>
  </si>
  <si>
    <t xml:space="preserve">z-statistic</t>
  </si>
  <si>
    <t xml:space="preserve">p-value</t>
  </si>
  <si>
    <t xml:space="preserve">Final process comparison</t>
  </si>
  <si>
    <t xml:space="preserve">Chart selection justification</t>
  </si>
  <si>
    <t xml:space="preserve">Criterion</t>
  </si>
  <si>
    <t xml:space="preserve">Justification</t>
  </si>
  <si>
    <t xml:space="preserve">fixed n=5, proportion defective — primary rubric chart</t>
  </si>
  <si>
    <t xml:space="preserve">count defective valid (n constant); confirms p-chart</t>
  </si>
  <si>
    <t xml:space="preserve">Meets 2σ?</t>
  </si>
  <si>
    <t xml:space="preserve">—</t>
  </si>
  <si>
    <t xml:space="preserve">both</t>
  </si>
  <si>
    <t xml:space="preserve">rank colours to target assignable causes</t>
  </si>
  <si>
    <t xml:space="preserve">Statistically stable?</t>
  </si>
  <si>
    <t xml:space="preserve">Round-2 limits show colour-driven OOC</t>
  </si>
  <si>
    <t xml:space="preserve">Limits run-specific (u-chart)</t>
  </si>
  <si>
    <t xml:space="preserve">defects per varying opportunity size</t>
  </si>
  <si>
    <t xml:space="preserve">Throughput (completed)</t>
  </si>
  <si>
    <t xml:space="preserve">g-chart</t>
  </si>
  <si>
    <t xml:space="preserve">pieces before defect; higher = better</t>
  </si>
  <si>
    <t xml:space="preserve">Assignable causes (evidence-based)</t>
  </si>
  <si>
    <t xml:space="preserve">Meaning</t>
  </si>
  <si>
    <t xml:space="preserve">• Supplier/colour concentration — White, Yellow, Red, Orange dominate defects in both processes.</t>
  </si>
  <si>
    <t xml:space="preserve">one nonconforming feature on a piece</t>
  </si>
  <si>
    <t xml:space="preserve">• Light Blue &amp; Green show zero defects — possible different supplier/bin or inspection focus change.</t>
  </si>
  <si>
    <t xml:space="preserve">a piece that cannot be used</t>
  </si>
  <si>
    <t xml:space="preserve">• Process 2 discards whole assemblies on first defect — early defects (low g) drive cost.</t>
  </si>
  <si>
    <t xml:space="preserve">a figurine that cannot ship</t>
  </si>
  <si>
    <t xml:space="preserve">complete, all 7 pieces fit</t>
  </si>
  <si>
    <t xml:space="preserve">Final recommendation</t>
  </si>
  <si>
    <t xml:space="preserve">Final recommendation: Process 2 performs better statistically — lower defect rate (≈20% vs ≈36%) and lower DPMO (≈198,675 vs ≈361,905), and the two-proportion z-test (z≈3.36, p≈0.0008) shows the difference is statistically significant. Process 2 passes the 2-sigma benchmark (308,537 DPMO) while Process 1 fails it. However, Process 2 discards the entire semi-assembly on a single defect, making it costly when high-defect colours appear early. Process 1 is operationally attractive because defectives are removed before assembly, but its current DPMO exceeds the 2-sigma benchmark. Priority: reduce supplier/colour-specific defects (White, Yellow, Red, Orange) before full implementation; on current data prefer Process 2 for capability while fixing incoming material quality. Conclusion rests on stability, DPMO/2-sigma, the z-test, cost and throughput together — not a single chart.</t>
  </si>
  <si>
    <t xml:space="preserve">Assignable causes summary</t>
  </si>
  <si>
    <t xml:space="preserve">• Supplier/colour concentration: White, Dark Blue, Yellow, Red, Orange dominate defects in BOTH processes (Pareto).</t>
  </si>
  <si>
    <t xml:space="preserve">• Light Blue &amp; Green: zero defects in P1 — benchmark colours / different supplier or bin.</t>
  </si>
  <si>
    <t xml:space="preserve">• Process 2 early discards driven by high-defect colours (Orange/Red) reached early in the pick order.</t>
  </si>
  <si>
    <t xml:space="preserve">• No single-point 3σ outlier in P1 (n=5 caps limits) — cause is between-colour, not a rogue subgroup.</t>
  </si>
</sst>
</file>

<file path=xl/styles.xml><?xml version="1.0" encoding="utf-8"?>
<styleSheet xmlns="http://schemas.openxmlformats.org/spreadsheetml/2006/main">
  <numFmts count="8">
    <numFmt numFmtId="164" formatCode="General"/>
    <numFmt numFmtId="165" formatCode="0.000"/>
    <numFmt numFmtId="166" formatCode="0.0000"/>
    <numFmt numFmtId="167" formatCode="General"/>
    <numFmt numFmtId="168" formatCode="0.00"/>
    <numFmt numFmtId="169" formatCode="0%"/>
    <numFmt numFmtId="170" formatCode="#,##0"/>
    <numFmt numFmtId="171" formatCode="0.0%"/>
  </numFmts>
  <fonts count="2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0"/>
      <name val="Arial"/>
      <family val="0"/>
      <charset val="1"/>
    </font>
    <font>
      <sz val="10"/>
      <name val="Arial"/>
      <family val="0"/>
      <charset val="1"/>
    </font>
    <font>
      <i val="true"/>
      <sz val="9"/>
      <color rgb="FF555555"/>
      <name val="Arial"/>
      <family val="0"/>
      <charset val="1"/>
    </font>
    <font>
      <b val="true"/>
      <sz val="11"/>
      <color rgb="FF1F4E78"/>
      <name val="Arial"/>
      <family val="0"/>
      <charset val="1"/>
    </font>
    <font>
      <b val="true"/>
      <sz val="10"/>
      <color rgb="FFFFFFFF"/>
      <name val="Arial"/>
      <family val="0"/>
      <charset val="1"/>
    </font>
    <font>
      <b val="true"/>
      <sz val="13"/>
      <color rgb="FF1F4E78"/>
      <name val="Arial"/>
      <family val="0"/>
      <charset val="1"/>
    </font>
    <font>
      <b val="true"/>
      <sz val="9"/>
      <color rgb="FFFFFFFF"/>
      <name val="Arial"/>
      <family val="0"/>
      <charset val="1"/>
    </font>
    <font>
      <sz val="9"/>
      <name val="Arial"/>
      <family val="0"/>
      <charset val="1"/>
    </font>
    <font>
      <b val="true"/>
      <sz val="9"/>
      <name val="Arial"/>
      <family val="0"/>
      <charset val="1"/>
    </font>
    <font>
      <i val="true"/>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b val="true"/>
      <sz val="16"/>
      <color rgb="FF1F4E78"/>
      <name val="Arial"/>
      <family val="0"/>
      <charset val="1"/>
    </font>
  </fonts>
  <fills count="10">
    <fill>
      <patternFill patternType="none"/>
    </fill>
    <fill>
      <patternFill patternType="gray125"/>
    </fill>
    <fill>
      <patternFill patternType="solid">
        <fgColor rgb="FFFFF2CC"/>
        <bgColor rgb="FFFFFFCC"/>
      </patternFill>
    </fill>
    <fill>
      <patternFill patternType="solid">
        <fgColor rgb="FF1F4E78"/>
        <bgColor rgb="FF003366"/>
      </patternFill>
    </fill>
    <fill>
      <patternFill patternType="solid">
        <fgColor rgb="FFE2EFDA"/>
        <bgColor rgb="FFDDEBF7"/>
      </patternFill>
    </fill>
    <fill>
      <patternFill patternType="solid">
        <fgColor rgb="FFFCE4D6"/>
        <bgColor rgb="FFFFF2CC"/>
      </patternFill>
    </fill>
    <fill>
      <patternFill patternType="solid">
        <fgColor rgb="FFF8CBAD"/>
        <bgColor rgb="FFFCE4D6"/>
      </patternFill>
    </fill>
    <fill>
      <patternFill patternType="solid">
        <fgColor rgb="FFD9D9D9"/>
        <bgColor rgb="FFDDEBF7"/>
      </patternFill>
    </fill>
    <fill>
      <patternFill patternType="solid">
        <fgColor rgb="FFFFFFCC"/>
        <bgColor rgb="FFFFF2CC"/>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bottom"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tru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center" vertical="bottom" textRotation="0" wrapText="tru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71" fontId="19" fillId="0" borderId="1" xfId="0" applyFont="true" applyBorder="true" applyAlignment="true" applyProtection="false">
      <alignment horizontal="general" vertical="bottom" textRotation="0" wrapText="false" indent="0" shrinkToFit="false"/>
      <protection locked="true" hidden="false"/>
    </xf>
    <xf numFmtId="170" fontId="19" fillId="0" borderId="1" xfId="0" applyFont="true" applyBorder="true" applyAlignment="true" applyProtection="false">
      <alignment horizontal="general" vertical="bottom" textRotation="0" wrapText="false" indent="0" shrinkToFit="false"/>
      <protection locked="true" hidden="false"/>
    </xf>
    <xf numFmtId="165" fontId="19" fillId="0" borderId="1" xfId="0" applyFont="true" applyBorder="true" applyAlignment="tru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70" fontId="6" fillId="0"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BE4B48"/>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E2EFDA"/>
      <rgbColor rgb="FFFFF2CC"/>
      <rgbColor rgb="FF99CCFF"/>
      <rgbColor rgb="FFFF99CC"/>
      <rgbColor rgb="FFCC99FF"/>
      <rgbColor rgb="FFF8CBAD"/>
      <rgbColor rgb="FF4F81BD"/>
      <rgbColor rgb="FF33CCCC"/>
      <rgbColor rgb="FF98B855"/>
      <rgbColor rgb="FFFFCC00"/>
      <rgbColor rgb="FFFF9900"/>
      <rgbColor rgb="FFFF6600"/>
      <rgbColor rgb="FF7D5FA0"/>
      <rgbColor rgb="FF969696"/>
      <rgbColor rgb="FF003366"/>
      <rgbColor rgb="FF339966"/>
      <rgbColor rgb="FF003300"/>
      <rgbColor rgb="FF333300"/>
      <rgbColor rgb="FF993300"/>
      <rgbColor rgb="FFC0504D"/>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1 p-chart — Round 1</a:t>
            </a:r>
          </a:p>
        </c:rich>
      </c:tx>
      <c:overlay val="0"/>
      <c:spPr>
        <a:noFill/>
        <a:ln w="0">
          <a:noFill/>
        </a:ln>
      </c:spPr>
    </c:title>
    <c:autoTitleDeleted val="0"/>
    <c:plotArea>
      <c:scatterChart>
        <c:scatterStyle val="lineMarker"/>
        <c:varyColors val="0"/>
        <c:ser>
          <c:idx val="0"/>
          <c:order val="0"/>
          <c:tx>
            <c:strRef>
              <c:f>P1_Analysis!B3</c:f>
              <c:strCache>
                <c:ptCount val="1"/>
                <c:pt idx="0">
                  <c:v>p_i</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P1_Analysis!$A$4:$A$45</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numCache>
            </c:numRef>
          </c:xVal>
          <c:yVal>
            <c:numRef>
              <c:f>P1_Analysis!$B$4:$B$45</c:f>
              <c:numCache>
                <c:formatCode>0.000</c:formatCode>
                <c:ptCount val="42"/>
                <c:pt idx="0">
                  <c:v>0.6</c:v>
                </c:pt>
                <c:pt idx="1">
                  <c:v>0</c:v>
                </c:pt>
                <c:pt idx="2">
                  <c:v>0.8</c:v>
                </c:pt>
                <c:pt idx="3">
                  <c:v>0.4</c:v>
                </c:pt>
                <c:pt idx="4">
                  <c:v>0.6</c:v>
                </c:pt>
                <c:pt idx="5">
                  <c:v>0.4</c:v>
                </c:pt>
                <c:pt idx="6">
                  <c:v>0.8</c:v>
                </c:pt>
                <c:pt idx="7">
                  <c:v>0.6</c:v>
                </c:pt>
                <c:pt idx="8">
                  <c:v>0.6</c:v>
                </c:pt>
                <c:pt idx="9">
                  <c:v>0.2</c:v>
                </c:pt>
                <c:pt idx="10">
                  <c:v>0.4</c:v>
                </c:pt>
                <c:pt idx="11">
                  <c:v>0.2</c:v>
                </c:pt>
                <c:pt idx="12">
                  <c:v>0.6</c:v>
                </c:pt>
                <c:pt idx="13">
                  <c:v>0.8</c:v>
                </c:pt>
                <c:pt idx="14">
                  <c:v>0.8</c:v>
                </c:pt>
                <c:pt idx="15">
                  <c:v>0.6</c:v>
                </c:pt>
                <c:pt idx="16">
                  <c:v>0.6</c:v>
                </c:pt>
                <c:pt idx="17">
                  <c:v>0.6</c:v>
                </c:pt>
                <c:pt idx="18">
                  <c:v>0</c:v>
                </c:pt>
                <c:pt idx="19">
                  <c:v>0</c:v>
                </c:pt>
                <c:pt idx="20">
                  <c:v>0</c:v>
                </c:pt>
                <c:pt idx="21">
                  <c:v>0.6</c:v>
                </c:pt>
                <c:pt idx="22">
                  <c:v>0</c:v>
                </c:pt>
                <c:pt idx="23">
                  <c:v>0.8</c:v>
                </c:pt>
                <c:pt idx="24">
                  <c:v>0.4</c:v>
                </c:pt>
                <c:pt idx="25">
                  <c:v>0.6</c:v>
                </c:pt>
                <c:pt idx="26">
                  <c:v>0.4</c:v>
                </c:pt>
                <c:pt idx="27">
                  <c:v>0.8</c:v>
                </c:pt>
                <c:pt idx="28">
                  <c:v>0.6</c:v>
                </c:pt>
                <c:pt idx="29">
                  <c:v>0.6</c:v>
                </c:pt>
                <c:pt idx="30">
                  <c:v>0.2</c:v>
                </c:pt>
                <c:pt idx="31">
                  <c:v>0.4</c:v>
                </c:pt>
                <c:pt idx="32">
                  <c:v>0.2</c:v>
                </c:pt>
                <c:pt idx="33">
                  <c:v>0.6</c:v>
                </c:pt>
                <c:pt idx="34">
                  <c:v>0.8</c:v>
                </c:pt>
                <c:pt idx="35">
                  <c:v>0.8</c:v>
                </c:pt>
                <c:pt idx="36">
                  <c:v>0.6</c:v>
                </c:pt>
                <c:pt idx="37">
                  <c:v>0.6</c:v>
                </c:pt>
                <c:pt idx="38">
                  <c:v>0.6</c:v>
                </c:pt>
                <c:pt idx="39">
                  <c:v>0</c:v>
                </c:pt>
                <c:pt idx="40">
                  <c:v>0</c:v>
                </c:pt>
                <c:pt idx="41">
                  <c:v>0</c:v>
                </c:pt>
              </c:numCache>
            </c:numRef>
          </c:yVal>
          <c:smooth val="1"/>
        </c:ser>
        <c:ser>
          <c:idx val="1"/>
          <c:order val="1"/>
          <c:tx>
            <c:strRef>
              <c:f>P1_Analysis!C3</c:f>
              <c:strCache>
                <c:ptCount val="1"/>
                <c:pt idx="0">
                  <c:v>CL (p̄)</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P1_Analysis!$A$4:$A$45</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numCache>
            </c:numRef>
          </c:xVal>
          <c:yVal>
            <c:numRef>
              <c:f>P1_Analysis!$C$4:$C$45</c:f>
              <c:numCache>
                <c:formatCode>0.000</c:formatCode>
                <c:ptCount val="42"/>
                <c:pt idx="0">
                  <c:v>0.361904761904762</c:v>
                </c:pt>
                <c:pt idx="1">
                  <c:v>0.361904761904762</c:v>
                </c:pt>
                <c:pt idx="2">
                  <c:v>0.361904761904762</c:v>
                </c:pt>
                <c:pt idx="3">
                  <c:v>0.361904761904762</c:v>
                </c:pt>
                <c:pt idx="4">
                  <c:v>0.361904761904762</c:v>
                </c:pt>
                <c:pt idx="5">
                  <c:v>0.361904761904762</c:v>
                </c:pt>
                <c:pt idx="6">
                  <c:v>0.361904761904762</c:v>
                </c:pt>
                <c:pt idx="7">
                  <c:v>0.361904761904762</c:v>
                </c:pt>
                <c:pt idx="8">
                  <c:v>0.361904761904762</c:v>
                </c:pt>
                <c:pt idx="9">
                  <c:v>0.361904761904762</c:v>
                </c:pt>
                <c:pt idx="10">
                  <c:v>0.361904761904762</c:v>
                </c:pt>
                <c:pt idx="11">
                  <c:v>0.361904761904762</c:v>
                </c:pt>
                <c:pt idx="12">
                  <c:v>0.361904761904762</c:v>
                </c:pt>
                <c:pt idx="13">
                  <c:v>0.361904761904762</c:v>
                </c:pt>
                <c:pt idx="14">
                  <c:v>0.361904761904762</c:v>
                </c:pt>
                <c:pt idx="15">
                  <c:v>0.361904761904762</c:v>
                </c:pt>
                <c:pt idx="16">
                  <c:v>0.361904761904762</c:v>
                </c:pt>
                <c:pt idx="17">
                  <c:v>0.361904761904762</c:v>
                </c:pt>
                <c:pt idx="18">
                  <c:v>0.361904761904762</c:v>
                </c:pt>
                <c:pt idx="19">
                  <c:v>0.361904761904762</c:v>
                </c:pt>
                <c:pt idx="20">
                  <c:v>0.361904761904762</c:v>
                </c:pt>
                <c:pt idx="21">
                  <c:v>0.361904761904762</c:v>
                </c:pt>
                <c:pt idx="22">
                  <c:v>0.361904761904762</c:v>
                </c:pt>
                <c:pt idx="23">
                  <c:v>0.361904761904762</c:v>
                </c:pt>
                <c:pt idx="24">
                  <c:v>0.361904761904762</c:v>
                </c:pt>
                <c:pt idx="25">
                  <c:v>0.361904761904762</c:v>
                </c:pt>
                <c:pt idx="26">
                  <c:v>0.361904761904762</c:v>
                </c:pt>
                <c:pt idx="27">
                  <c:v>0.361904761904762</c:v>
                </c:pt>
                <c:pt idx="28">
                  <c:v>0.361904761904762</c:v>
                </c:pt>
                <c:pt idx="29">
                  <c:v>0.361904761904762</c:v>
                </c:pt>
                <c:pt idx="30">
                  <c:v>0.361904761904762</c:v>
                </c:pt>
                <c:pt idx="31">
                  <c:v>0.361904761904762</c:v>
                </c:pt>
                <c:pt idx="32">
                  <c:v>0.361904761904762</c:v>
                </c:pt>
                <c:pt idx="33">
                  <c:v>0.361904761904762</c:v>
                </c:pt>
                <c:pt idx="34">
                  <c:v>0.361904761904762</c:v>
                </c:pt>
                <c:pt idx="35">
                  <c:v>0.361904761904762</c:v>
                </c:pt>
                <c:pt idx="36">
                  <c:v>0.361904761904762</c:v>
                </c:pt>
                <c:pt idx="37">
                  <c:v>0.361904761904762</c:v>
                </c:pt>
                <c:pt idx="38">
                  <c:v>0.361904761904762</c:v>
                </c:pt>
                <c:pt idx="39">
                  <c:v>0.361904761904762</c:v>
                </c:pt>
                <c:pt idx="40">
                  <c:v>0.361904761904762</c:v>
                </c:pt>
                <c:pt idx="41">
                  <c:v>0.361904761904762</c:v>
                </c:pt>
              </c:numCache>
            </c:numRef>
          </c:yVal>
          <c:smooth val="1"/>
        </c:ser>
        <c:ser>
          <c:idx val="2"/>
          <c:order val="2"/>
          <c:tx>
            <c:strRef>
              <c:f>P1_Analysis!D3</c:f>
              <c:strCache>
                <c:ptCount val="1"/>
                <c:pt idx="0">
                  <c:v>UCL_3σ</c:v>
                </c:pt>
              </c:strCache>
            </c:strRef>
          </c:tx>
          <c:spPr>
            <a:solidFill>
              <a:srgbClr val="98b855"/>
            </a:solidFill>
            <a:ln w="28440">
              <a:solidFill>
                <a:srgbClr val="98b855"/>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P1_Analysis!$A$4:$A$45</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numCache>
            </c:numRef>
          </c:xVal>
          <c:yVal>
            <c:numRef>
              <c:f>P1_Analysis!$D$4:$D$45</c:f>
              <c:numCache>
                <c:formatCode>0.000</c:formatCode>
                <c:ptCount val="4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numCache>
            </c:numRef>
          </c:yVal>
          <c:smooth val="1"/>
        </c:ser>
        <c:ser>
          <c:idx val="3"/>
          <c:order val="3"/>
          <c:tx>
            <c:strRef>
              <c:f>P1_Analysis!E3</c:f>
              <c:strCache>
                <c:ptCount val="1"/>
                <c:pt idx="0">
                  <c:v>LCL_3σ</c:v>
                </c:pt>
              </c:strCache>
            </c:strRef>
          </c:tx>
          <c:spPr>
            <a:solidFill>
              <a:srgbClr val="7d5fa0"/>
            </a:solidFill>
            <a:ln w="28440">
              <a:solidFill>
                <a:srgbClr val="7d5fa0"/>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P1_Analysis!$A$4:$A$45</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numCache>
            </c:numRef>
          </c:xVal>
          <c:yVal>
            <c:numRef>
              <c:f>P1_Analysis!$E$4:$E$45</c:f>
              <c:numCache>
                <c:formatCode>0.000</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1"/>
        </c:ser>
        <c:ser>
          <c:idx val="4"/>
          <c:order val="4"/>
          <c:tx>
            <c:strRef>
              <c:f>P1_Analysis!F3</c:f>
              <c:strCache>
                <c:ptCount val="1"/>
                <c:pt idx="0">
                  <c:v>Out_of_Control</c:v>
                </c:pt>
              </c:strCache>
            </c:strRef>
          </c:tx>
          <c:spPr>
            <a:solidFill>
              <a:srgbClr val="ff0000"/>
            </a:solidFill>
            <a:ln w="28440">
              <a:noFill/>
            </a:ln>
          </c:spPr>
          <c:marker>
            <c:symbol val="circle"/>
            <c:size val="8"/>
            <c:spPr>
              <a:solidFill>
                <a:srgbClr val="ff00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P1_Analysis!$A$4:$A$45</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numCache>
            </c:numRef>
          </c:xVal>
          <c:yVal>
            <c:numRef>
              <c:f>P1_Analysis!$F$4:$F$45</c:f>
              <c:numCache>
                <c:formatCode>0.000</c:formatCode>
                <c:ptCount val="42"/>
              </c:numCache>
            </c:numRef>
          </c:yVal>
          <c:smooth val="1"/>
        </c:ser>
        <c:axId val="83942702"/>
        <c:axId val="83901740"/>
      </c:scatterChart>
      <c:valAx>
        <c:axId val="8394270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Sample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901740"/>
        <c:crosses val="autoZero"/>
        <c:crossBetween val="midCat"/>
      </c:valAx>
      <c:valAx>
        <c:axId val="839017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Proportion defective</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94270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1 p-chart — Round 2 (recalculated)</a:t>
            </a:r>
          </a:p>
        </c:rich>
      </c:tx>
      <c:overlay val="0"/>
      <c:spPr>
        <a:noFill/>
        <a:ln w="0">
          <a:noFill/>
        </a:ln>
      </c:spPr>
    </c:title>
    <c:autoTitleDeleted val="0"/>
    <c:plotArea>
      <c:scatterChart>
        <c:scatterStyle val="lineMarker"/>
        <c:varyColors val="0"/>
        <c:ser>
          <c:idx val="0"/>
          <c:order val="0"/>
          <c:tx>
            <c:strRef>
              <c:f>P1_Analysis!B24</c:f>
              <c:strCache>
                <c:ptCount val="1"/>
                <c:pt idx="0">
                  <c:v>0.000</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P1_Analysis!$A$25:$A$66</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numCache>
            </c:numRef>
          </c:xVal>
          <c:yVal>
            <c:numRef>
              <c:f>P1_Analysis!$B$25:$B$66</c:f>
              <c:numCache>
                <c:formatCode>0.000</c:formatCode>
                <c:ptCount val="42"/>
                <c:pt idx="0">
                  <c:v>0.6</c:v>
                </c:pt>
                <c:pt idx="1">
                  <c:v>0</c:v>
                </c:pt>
                <c:pt idx="2">
                  <c:v>0.8</c:v>
                </c:pt>
                <c:pt idx="3">
                  <c:v>0.4</c:v>
                </c:pt>
                <c:pt idx="4">
                  <c:v>0.6</c:v>
                </c:pt>
                <c:pt idx="5">
                  <c:v>0.4</c:v>
                </c:pt>
                <c:pt idx="6">
                  <c:v>0.8</c:v>
                </c:pt>
                <c:pt idx="7">
                  <c:v>0.6</c:v>
                </c:pt>
                <c:pt idx="8">
                  <c:v>0.6</c:v>
                </c:pt>
                <c:pt idx="9">
                  <c:v>0.2</c:v>
                </c:pt>
                <c:pt idx="10">
                  <c:v>0.4</c:v>
                </c:pt>
                <c:pt idx="11">
                  <c:v>0.2</c:v>
                </c:pt>
                <c:pt idx="12">
                  <c:v>0.6</c:v>
                </c:pt>
                <c:pt idx="13">
                  <c:v>0.8</c:v>
                </c:pt>
                <c:pt idx="14">
                  <c:v>0.8</c:v>
                </c:pt>
                <c:pt idx="15">
                  <c:v>0.6</c:v>
                </c:pt>
                <c:pt idx="16">
                  <c:v>0.6</c:v>
                </c:pt>
                <c:pt idx="17">
                  <c:v>0.6</c:v>
                </c:pt>
                <c:pt idx="18">
                  <c:v>0</c:v>
                </c:pt>
                <c:pt idx="19">
                  <c:v>0</c:v>
                </c:pt>
                <c:pt idx="20">
                  <c:v>0</c:v>
                </c:pt>
                <c:pt idx="21">
                  <c:v>0</c:v>
                </c:pt>
                <c:pt idx="22">
                  <c:v>0</c:v>
                </c:pt>
                <c:pt idx="23">
                  <c:v>0</c:v>
                </c:pt>
                <c:pt idx="24">
                  <c:v>0.6</c:v>
                </c:pt>
                <c:pt idx="25">
                  <c:v>0.4</c:v>
                </c:pt>
                <c:pt idx="26">
                  <c:v>0.4</c:v>
                </c:pt>
                <c:pt idx="27">
                  <c:v>0.6</c:v>
                </c:pt>
                <c:pt idx="28">
                  <c:v>0.6</c:v>
                </c:pt>
                <c:pt idx="29">
                  <c:v>0.4</c:v>
                </c:pt>
                <c:pt idx="30">
                  <c:v>0</c:v>
                </c:pt>
                <c:pt idx="31">
                  <c:v>0</c:v>
                </c:pt>
                <c:pt idx="32">
                  <c:v>0</c:v>
                </c:pt>
                <c:pt idx="33">
                  <c:v>0</c:v>
                </c:pt>
                <c:pt idx="34">
                  <c:v>0</c:v>
                </c:pt>
                <c:pt idx="35">
                  <c:v>0</c:v>
                </c:pt>
                <c:pt idx="36">
                  <c:v>0</c:v>
                </c:pt>
                <c:pt idx="37">
                  <c:v>0.4</c:v>
                </c:pt>
                <c:pt idx="38">
                  <c:v>0.8</c:v>
                </c:pt>
                <c:pt idx="39">
                  <c:v>0.2</c:v>
                </c:pt>
                <c:pt idx="40">
                  <c:v>0.6</c:v>
                </c:pt>
                <c:pt idx="41">
                  <c:v>0.6</c:v>
                </c:pt>
              </c:numCache>
            </c:numRef>
          </c:yVal>
          <c:smooth val="1"/>
        </c:ser>
        <c:ser>
          <c:idx val="1"/>
          <c:order val="1"/>
          <c:tx>
            <c:strRef>
              <c:f>P1_Analysis!C24</c:f>
              <c:strCache>
                <c:ptCount val="1"/>
                <c:pt idx="0">
                  <c:v>0.362</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P1_Analysis!$A$25:$A$66</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numCache>
            </c:numRef>
          </c:xVal>
          <c:yVal>
            <c:numRef>
              <c:f>P1_Analysis!$C$25:$C$66</c:f>
              <c:numCache>
                <c:formatCode>0.000</c:formatCode>
                <c:ptCount val="42"/>
                <c:pt idx="0">
                  <c:v>0.361904761904762</c:v>
                </c:pt>
                <c:pt idx="1">
                  <c:v>0.361904761904762</c:v>
                </c:pt>
                <c:pt idx="2">
                  <c:v>0.361904761904762</c:v>
                </c:pt>
                <c:pt idx="3">
                  <c:v>0.361904761904762</c:v>
                </c:pt>
                <c:pt idx="4">
                  <c:v>0.361904761904762</c:v>
                </c:pt>
                <c:pt idx="5">
                  <c:v>0.361904761904762</c:v>
                </c:pt>
                <c:pt idx="6">
                  <c:v>0.361904761904762</c:v>
                </c:pt>
                <c:pt idx="7">
                  <c:v>0.361904761904762</c:v>
                </c:pt>
                <c:pt idx="8">
                  <c:v>0.361904761904762</c:v>
                </c:pt>
                <c:pt idx="9">
                  <c:v>0.361904761904762</c:v>
                </c:pt>
                <c:pt idx="10">
                  <c:v>0.361904761904762</c:v>
                </c:pt>
                <c:pt idx="11">
                  <c:v>0.361904761904762</c:v>
                </c:pt>
                <c:pt idx="12">
                  <c:v>0.361904761904762</c:v>
                </c:pt>
                <c:pt idx="13">
                  <c:v>0.361904761904762</c:v>
                </c:pt>
                <c:pt idx="14">
                  <c:v>0.361904761904762</c:v>
                </c:pt>
                <c:pt idx="15">
                  <c:v>0.361904761904762</c:v>
                </c:pt>
                <c:pt idx="16">
                  <c:v>0.361904761904762</c:v>
                </c:pt>
                <c:pt idx="17">
                  <c:v>0.361904761904762</c:v>
                </c:pt>
                <c:pt idx="18">
                  <c:v>0.361904761904762</c:v>
                </c:pt>
                <c:pt idx="19">
                  <c:v>0.361904761904762</c:v>
                </c:pt>
                <c:pt idx="20">
                  <c:v>0.361904761904762</c:v>
                </c:pt>
                <c:pt idx="21">
                  <c:v>0.361904761904762</c:v>
                </c:pt>
                <c:pt idx="22">
                  <c:v>0.361904761904762</c:v>
                </c:pt>
                <c:pt idx="23">
                  <c:v>0.361904761904762</c:v>
                </c:pt>
                <c:pt idx="24">
                  <c:v>0.361904761904762</c:v>
                </c:pt>
                <c:pt idx="25">
                  <c:v>0.361904761904762</c:v>
                </c:pt>
                <c:pt idx="26">
                  <c:v>0.361904761904762</c:v>
                </c:pt>
                <c:pt idx="27">
                  <c:v>0.361904761904762</c:v>
                </c:pt>
                <c:pt idx="28">
                  <c:v>0.361904761904762</c:v>
                </c:pt>
                <c:pt idx="29">
                  <c:v>0.361904761904762</c:v>
                </c:pt>
                <c:pt idx="30">
                  <c:v>0.361904761904762</c:v>
                </c:pt>
                <c:pt idx="31">
                  <c:v>0.361904761904762</c:v>
                </c:pt>
                <c:pt idx="32">
                  <c:v>0.361904761904762</c:v>
                </c:pt>
                <c:pt idx="33">
                  <c:v>0.361904761904762</c:v>
                </c:pt>
                <c:pt idx="34">
                  <c:v>0.361904761904762</c:v>
                </c:pt>
                <c:pt idx="35">
                  <c:v>0.361904761904762</c:v>
                </c:pt>
                <c:pt idx="36">
                  <c:v>0.361904761904762</c:v>
                </c:pt>
                <c:pt idx="37">
                  <c:v>0.361904761904762</c:v>
                </c:pt>
                <c:pt idx="38">
                  <c:v>0.361904761904762</c:v>
                </c:pt>
                <c:pt idx="39">
                  <c:v>0.361904761904762</c:v>
                </c:pt>
                <c:pt idx="40">
                  <c:v>0.361904761904762</c:v>
                </c:pt>
                <c:pt idx="41">
                  <c:v>0.361904761904762</c:v>
                </c:pt>
              </c:numCache>
            </c:numRef>
          </c:yVal>
          <c:smooth val="1"/>
        </c:ser>
        <c:ser>
          <c:idx val="2"/>
          <c:order val="2"/>
          <c:tx>
            <c:strRef>
              <c:f>P1_Analysis!D24</c:f>
              <c:strCache>
                <c:ptCount val="1"/>
                <c:pt idx="0">
                  <c:v>1.000</c:v>
                </c:pt>
              </c:strCache>
            </c:strRef>
          </c:tx>
          <c:spPr>
            <a:solidFill>
              <a:srgbClr val="98b855"/>
            </a:solidFill>
            <a:ln w="28440">
              <a:solidFill>
                <a:srgbClr val="98b855"/>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P1_Analysis!$A$25:$A$66</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numCache>
            </c:numRef>
          </c:xVal>
          <c:yVal>
            <c:numRef>
              <c:f>P1_Analysis!$D$25:$D$66</c:f>
              <c:numCache>
                <c:formatCode>0.000</c:formatCode>
                <c:ptCount val="4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numCache>
            </c:numRef>
          </c:yVal>
          <c:smooth val="1"/>
        </c:ser>
        <c:ser>
          <c:idx val="3"/>
          <c:order val="3"/>
          <c:tx>
            <c:strRef>
              <c:f>P1_Analysis!E24</c:f>
              <c:strCache>
                <c:ptCount val="1"/>
                <c:pt idx="0">
                  <c:v>0.000</c:v>
                </c:pt>
              </c:strCache>
            </c:strRef>
          </c:tx>
          <c:spPr>
            <a:solidFill>
              <a:srgbClr val="7d5fa0"/>
            </a:solidFill>
            <a:ln w="28440">
              <a:solidFill>
                <a:srgbClr val="7d5fa0"/>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P1_Analysis!$A$25:$A$66</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numCache>
            </c:numRef>
          </c:xVal>
          <c:yVal>
            <c:numRef>
              <c:f>P1_Analysis!$E$25:$E$66</c:f>
              <c:numCache>
                <c:formatCode>0.000</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1"/>
        </c:ser>
        <c:axId val="48703218"/>
        <c:axId val="31997318"/>
      </c:scatterChart>
      <c:valAx>
        <c:axId val="48703218"/>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Sample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997318"/>
        <c:crosses val="autoZero"/>
        <c:crossBetween val="midCat"/>
      </c:valAx>
      <c:valAx>
        <c:axId val="319973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Proportion defective</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70321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1 np-chart</a:t>
            </a:r>
          </a:p>
        </c:rich>
      </c:tx>
      <c:overlay val="0"/>
      <c:spPr>
        <a:noFill/>
        <a:ln w="0">
          <a:noFill/>
        </a:ln>
      </c:spPr>
    </c:title>
    <c:autoTitleDeleted val="0"/>
    <c:plotArea>
      <c:scatterChart>
        <c:scatterStyle val="lineMarker"/>
        <c:varyColors val="0"/>
        <c:ser>
          <c:idx val="0"/>
          <c:order val="0"/>
          <c:tx>
            <c:strRef>
              <c:f>P1_Analysis!L8</c:f>
              <c:strCache>
                <c:ptCount val="1"/>
                <c:pt idx="0">
                  <c:v>np_i</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P1_Analysis!$K$9:$K$50</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7">
                  <c:v>38</c:v>
                </c:pt>
                <c:pt idx="38">
                  <c:v>39</c:v>
                </c:pt>
                <c:pt idx="39">
                  <c:v>40</c:v>
                </c:pt>
                <c:pt idx="40">
                  <c:v>41</c:v>
                </c:pt>
                <c:pt idx="41">
                  <c:v>42</c:v>
                </c:pt>
              </c:numCache>
            </c:numRef>
          </c:xVal>
          <c:yVal>
            <c:numRef>
              <c:f>P1_Analysis!$L$9:$L$50</c:f>
              <c:numCache>
                <c:formatCode>General</c:formatCode>
                <c:ptCount val="42"/>
                <c:pt idx="0">
                  <c:v>3</c:v>
                </c:pt>
                <c:pt idx="1">
                  <c:v>0</c:v>
                </c:pt>
                <c:pt idx="2">
                  <c:v>4</c:v>
                </c:pt>
                <c:pt idx="3">
                  <c:v>2</c:v>
                </c:pt>
                <c:pt idx="4">
                  <c:v>3</c:v>
                </c:pt>
                <c:pt idx="5">
                  <c:v>2</c:v>
                </c:pt>
                <c:pt idx="6">
                  <c:v>4</c:v>
                </c:pt>
                <c:pt idx="7">
                  <c:v>3</c:v>
                </c:pt>
                <c:pt idx="8">
                  <c:v>3</c:v>
                </c:pt>
                <c:pt idx="9">
                  <c:v>1</c:v>
                </c:pt>
                <c:pt idx="10">
                  <c:v>2</c:v>
                </c:pt>
                <c:pt idx="11">
                  <c:v>1</c:v>
                </c:pt>
                <c:pt idx="12">
                  <c:v>3</c:v>
                </c:pt>
                <c:pt idx="13">
                  <c:v>4</c:v>
                </c:pt>
                <c:pt idx="14">
                  <c:v>4</c:v>
                </c:pt>
                <c:pt idx="15">
                  <c:v>3</c:v>
                </c:pt>
                <c:pt idx="16">
                  <c:v>3</c:v>
                </c:pt>
                <c:pt idx="17">
                  <c:v>3</c:v>
                </c:pt>
                <c:pt idx="18">
                  <c:v>0</c:v>
                </c:pt>
                <c:pt idx="19">
                  <c:v>0</c:v>
                </c:pt>
                <c:pt idx="20">
                  <c:v>0</c:v>
                </c:pt>
                <c:pt idx="21">
                  <c:v>0</c:v>
                </c:pt>
                <c:pt idx="22">
                  <c:v>0</c:v>
                </c:pt>
                <c:pt idx="23">
                  <c:v>0</c:v>
                </c:pt>
                <c:pt idx="24">
                  <c:v>3</c:v>
                </c:pt>
                <c:pt idx="25">
                  <c:v>2</c:v>
                </c:pt>
                <c:pt idx="26">
                  <c:v>2</c:v>
                </c:pt>
                <c:pt idx="27">
                  <c:v>3</c:v>
                </c:pt>
                <c:pt idx="28">
                  <c:v>3</c:v>
                </c:pt>
                <c:pt idx="29">
                  <c:v>2</c:v>
                </c:pt>
                <c:pt idx="30">
                  <c:v>20</c:v>
                </c:pt>
                <c:pt idx="31">
                  <c:v>15</c:v>
                </c:pt>
                <c:pt idx="32">
                  <c:v>14</c:v>
                </c:pt>
                <c:pt idx="33">
                  <c:v>14</c:v>
                </c:pt>
                <c:pt idx="34">
                  <c:v>13</c:v>
                </c:pt>
                <c:pt idx="35">
                  <c:v>0</c:v>
                </c:pt>
                <c:pt idx="36">
                  <c:v>0</c:v>
                </c:pt>
                <c:pt idx="37">
                  <c:v>2</c:v>
                </c:pt>
                <c:pt idx="38">
                  <c:v>4</c:v>
                </c:pt>
                <c:pt idx="39">
                  <c:v>1</c:v>
                </c:pt>
                <c:pt idx="40">
                  <c:v>3</c:v>
                </c:pt>
                <c:pt idx="41">
                  <c:v>3</c:v>
                </c:pt>
              </c:numCache>
            </c:numRef>
          </c:yVal>
          <c:smooth val="1"/>
        </c:ser>
        <c:ser>
          <c:idx val="1"/>
          <c:order val="1"/>
          <c:tx>
            <c:strRef>
              <c:f>P1_Analysis!M8</c:f>
              <c:strCache>
                <c:ptCount val="1"/>
                <c:pt idx="0">
                  <c:v>npCL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P1_Analysis!$K$9:$K$50</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7">
                  <c:v>38</c:v>
                </c:pt>
                <c:pt idx="38">
                  <c:v>39</c:v>
                </c:pt>
                <c:pt idx="39">
                  <c:v>40</c:v>
                </c:pt>
                <c:pt idx="40">
                  <c:v>41</c:v>
                </c:pt>
                <c:pt idx="41">
                  <c:v>42</c:v>
                </c:pt>
              </c:numCache>
            </c:numRef>
          </c:xVal>
          <c:yVal>
            <c:numRef>
              <c:f>P1_Analysis!$M$9:$M$50</c:f>
              <c:numCache>
                <c:formatCode>0.00</c:formatCode>
                <c:ptCount val="42"/>
                <c:pt idx="0">
                  <c:v>1.80952380952381</c:v>
                </c:pt>
                <c:pt idx="1">
                  <c:v>1.80952380952381</c:v>
                </c:pt>
                <c:pt idx="2">
                  <c:v>1.80952380952381</c:v>
                </c:pt>
                <c:pt idx="3">
                  <c:v>1.80952380952381</c:v>
                </c:pt>
                <c:pt idx="4">
                  <c:v>1.80952380952381</c:v>
                </c:pt>
                <c:pt idx="5">
                  <c:v>1.80952380952381</c:v>
                </c:pt>
                <c:pt idx="6">
                  <c:v>1.80952380952381</c:v>
                </c:pt>
                <c:pt idx="7">
                  <c:v>1.80952380952381</c:v>
                </c:pt>
                <c:pt idx="8">
                  <c:v>1.80952380952381</c:v>
                </c:pt>
                <c:pt idx="9">
                  <c:v>1.80952380952381</c:v>
                </c:pt>
                <c:pt idx="10">
                  <c:v>1.80952380952381</c:v>
                </c:pt>
                <c:pt idx="11">
                  <c:v>1.80952380952381</c:v>
                </c:pt>
                <c:pt idx="12">
                  <c:v>1.80952380952381</c:v>
                </c:pt>
                <c:pt idx="13">
                  <c:v>1.80952380952381</c:v>
                </c:pt>
                <c:pt idx="14">
                  <c:v>1.80952380952381</c:v>
                </c:pt>
                <c:pt idx="15">
                  <c:v>1.80952380952381</c:v>
                </c:pt>
                <c:pt idx="16">
                  <c:v>1.80952380952381</c:v>
                </c:pt>
                <c:pt idx="17">
                  <c:v>1.80952380952381</c:v>
                </c:pt>
                <c:pt idx="18">
                  <c:v>1.80952380952381</c:v>
                </c:pt>
                <c:pt idx="19">
                  <c:v>1.80952380952381</c:v>
                </c:pt>
                <c:pt idx="20">
                  <c:v>1.80952380952381</c:v>
                </c:pt>
                <c:pt idx="21">
                  <c:v>1.80952380952381</c:v>
                </c:pt>
                <c:pt idx="22">
                  <c:v>1.80952380952381</c:v>
                </c:pt>
                <c:pt idx="23">
                  <c:v>1.80952380952381</c:v>
                </c:pt>
                <c:pt idx="24">
                  <c:v>1.80952380952381</c:v>
                </c:pt>
                <c:pt idx="25">
                  <c:v>1.80952380952381</c:v>
                </c:pt>
                <c:pt idx="26">
                  <c:v>1.80952380952381</c:v>
                </c:pt>
                <c:pt idx="27">
                  <c:v>1.80952380952381</c:v>
                </c:pt>
                <c:pt idx="28">
                  <c:v>1.80952380952381</c:v>
                </c:pt>
                <c:pt idx="29">
                  <c:v>1.80952380952381</c:v>
                </c:pt>
                <c:pt idx="30">
                  <c:v>0.263157894736842</c:v>
                </c:pt>
                <c:pt idx="31">
                  <c:v>0.460526315789474</c:v>
                </c:pt>
                <c:pt idx="32">
                  <c:v>0.644736842105263</c:v>
                </c:pt>
                <c:pt idx="33">
                  <c:v>0.828947368421053</c:v>
                </c:pt>
                <c:pt idx="34">
                  <c:v>1</c:v>
                </c:pt>
                <c:pt idx="35">
                  <c:v>1</c:v>
                </c:pt>
                <c:pt idx="36">
                  <c:v>1</c:v>
                </c:pt>
                <c:pt idx="37">
                  <c:v>1.80952380952381</c:v>
                </c:pt>
                <c:pt idx="38">
                  <c:v>1.80952380952381</c:v>
                </c:pt>
                <c:pt idx="39">
                  <c:v>1.80952380952381</c:v>
                </c:pt>
                <c:pt idx="40">
                  <c:v>1.80952380952381</c:v>
                </c:pt>
                <c:pt idx="41">
                  <c:v>1.80952380952381</c:v>
                </c:pt>
              </c:numCache>
            </c:numRef>
          </c:yVal>
          <c:smooth val="1"/>
        </c:ser>
        <c:ser>
          <c:idx val="2"/>
          <c:order val="2"/>
          <c:tx>
            <c:strRef>
              <c:f>P1_Analysis!N8</c:f>
              <c:strCache>
                <c:ptCount val="1"/>
                <c:pt idx="0">
                  <c:v>npUCL3</c:v>
                </c:pt>
              </c:strCache>
            </c:strRef>
          </c:tx>
          <c:spPr>
            <a:solidFill>
              <a:srgbClr val="98b855"/>
            </a:solidFill>
            <a:ln w="28440">
              <a:solidFill>
                <a:srgbClr val="98b855"/>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P1_Analysis!$K$9:$K$50</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7">
                  <c:v>38</c:v>
                </c:pt>
                <c:pt idx="38">
                  <c:v>39</c:v>
                </c:pt>
                <c:pt idx="39">
                  <c:v>40</c:v>
                </c:pt>
                <c:pt idx="40">
                  <c:v>41</c:v>
                </c:pt>
                <c:pt idx="41">
                  <c:v>42</c:v>
                </c:pt>
              </c:numCache>
            </c:numRef>
          </c:xVal>
          <c:yVal>
            <c:numRef>
              <c:f>P1_Analysis!$N$9:$N$50</c:f>
              <c:numCache>
                <c:formatCode>0.00</c:formatCode>
                <c:ptCount val="42"/>
                <c:pt idx="0">
                  <c:v>5.03316099982514</c:v>
                </c:pt>
                <c:pt idx="1">
                  <c:v>5.03316099982514</c:v>
                </c:pt>
                <c:pt idx="2">
                  <c:v>5.03316099982514</c:v>
                </c:pt>
                <c:pt idx="3">
                  <c:v>5.03316099982514</c:v>
                </c:pt>
                <c:pt idx="4">
                  <c:v>5.03316099982514</c:v>
                </c:pt>
                <c:pt idx="5">
                  <c:v>5.03316099982514</c:v>
                </c:pt>
                <c:pt idx="6">
                  <c:v>5.03316099982514</c:v>
                </c:pt>
                <c:pt idx="7">
                  <c:v>5.03316099982514</c:v>
                </c:pt>
                <c:pt idx="8">
                  <c:v>5.03316099982514</c:v>
                </c:pt>
                <c:pt idx="9">
                  <c:v>5.03316099982514</c:v>
                </c:pt>
                <c:pt idx="10">
                  <c:v>5.03316099982514</c:v>
                </c:pt>
                <c:pt idx="11">
                  <c:v>5.03316099982514</c:v>
                </c:pt>
                <c:pt idx="12">
                  <c:v>5.03316099982514</c:v>
                </c:pt>
                <c:pt idx="13">
                  <c:v>5.03316099982514</c:v>
                </c:pt>
                <c:pt idx="14">
                  <c:v>5.03316099982514</c:v>
                </c:pt>
                <c:pt idx="15">
                  <c:v>5.03316099982514</c:v>
                </c:pt>
                <c:pt idx="16">
                  <c:v>5.03316099982514</c:v>
                </c:pt>
                <c:pt idx="17">
                  <c:v>5.03316099982514</c:v>
                </c:pt>
                <c:pt idx="18">
                  <c:v>5.03316099982514</c:v>
                </c:pt>
                <c:pt idx="19">
                  <c:v>5.03316099982514</c:v>
                </c:pt>
                <c:pt idx="20">
                  <c:v>5.03316099982514</c:v>
                </c:pt>
                <c:pt idx="21">
                  <c:v>5.03316099982514</c:v>
                </c:pt>
                <c:pt idx="22">
                  <c:v>5.03316099982514</c:v>
                </c:pt>
                <c:pt idx="23">
                  <c:v>5.03316099982514</c:v>
                </c:pt>
                <c:pt idx="24">
                  <c:v>5.03316099982514</c:v>
                </c:pt>
                <c:pt idx="25">
                  <c:v>5.03316099982514</c:v>
                </c:pt>
                <c:pt idx="26">
                  <c:v>5.03316099982514</c:v>
                </c:pt>
                <c:pt idx="27">
                  <c:v>5.03316099982514</c:v>
                </c:pt>
                <c:pt idx="28">
                  <c:v>5.03316099982514</c:v>
                </c:pt>
                <c:pt idx="29">
                  <c:v>5.03316099982514</c:v>
                </c:pt>
                <c:pt idx="30">
                  <c:v>5.03316099982514</c:v>
                </c:pt>
                <c:pt idx="31">
                  <c:v>5.03316099982514</c:v>
                </c:pt>
                <c:pt idx="32">
                  <c:v>5.03316099982514</c:v>
                </c:pt>
                <c:pt idx="33">
                  <c:v>5.03316099982514</c:v>
                </c:pt>
                <c:pt idx="34">
                  <c:v>5.03316099982514</c:v>
                </c:pt>
                <c:pt idx="35">
                  <c:v>5.03316099982514</c:v>
                </c:pt>
                <c:pt idx="36">
                  <c:v>5.03316099982514</c:v>
                </c:pt>
                <c:pt idx="37">
                  <c:v>5.03316099982514</c:v>
                </c:pt>
                <c:pt idx="38">
                  <c:v>5.03316099982514</c:v>
                </c:pt>
                <c:pt idx="39">
                  <c:v>5.03316099982514</c:v>
                </c:pt>
                <c:pt idx="40">
                  <c:v>5.03316099982514</c:v>
                </c:pt>
                <c:pt idx="41">
                  <c:v>5.03316099982514</c:v>
                </c:pt>
              </c:numCache>
            </c:numRef>
          </c:yVal>
          <c:smooth val="1"/>
        </c:ser>
        <c:ser>
          <c:idx val="3"/>
          <c:order val="3"/>
          <c:tx>
            <c:strRef>
              <c:f>P1_Analysis!O8</c:f>
              <c:strCache>
                <c:ptCount val="1"/>
                <c:pt idx="0">
                  <c:v>npLCL3</c:v>
                </c:pt>
              </c:strCache>
            </c:strRef>
          </c:tx>
          <c:spPr>
            <a:solidFill>
              <a:srgbClr val="7d5fa0"/>
            </a:solidFill>
            <a:ln w="28440">
              <a:solidFill>
                <a:srgbClr val="7d5fa0"/>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P1_Analysis!$K$9:$K$50</c:f>
              <c:numCache>
                <c:formatCode>General</c:formatCode>
                <c:ptCount val="4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7">
                  <c:v>38</c:v>
                </c:pt>
                <c:pt idx="38">
                  <c:v>39</c:v>
                </c:pt>
                <c:pt idx="39">
                  <c:v>40</c:v>
                </c:pt>
                <c:pt idx="40">
                  <c:v>41</c:v>
                </c:pt>
                <c:pt idx="41">
                  <c:v>42</c:v>
                </c:pt>
              </c:numCache>
            </c:numRef>
          </c:xVal>
          <c:yVal>
            <c:numRef>
              <c:f>P1_Analysis!$O$9:$O$50</c:f>
              <c:numCache>
                <c:formatCode>0.00</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1"/>
        </c:ser>
        <c:axId val="15727474"/>
        <c:axId val="64444001"/>
      </c:scatterChart>
      <c:valAx>
        <c:axId val="15727474"/>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Sample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44001"/>
        <c:crosses val="autoZero"/>
        <c:crossBetween val="midCat"/>
      </c:valAx>
      <c:valAx>
        <c:axId val="644440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defective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2747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1 Pareto — defects by colour</a:t>
            </a:r>
          </a:p>
        </c:rich>
      </c:tx>
      <c:overlay val="0"/>
      <c:spPr>
        <a:noFill/>
        <a:ln w="0">
          <a:noFill/>
        </a:ln>
      </c:spPr>
    </c:title>
    <c:autoTitleDeleted val="0"/>
    <c:plotArea>
      <c:barChart>
        <c:barDir val="col"/>
        <c:grouping val="clustered"/>
        <c:varyColors val="0"/>
        <c:ser>
          <c:idx val="0"/>
          <c:order val="0"/>
          <c:tx>
            <c:strRef>
              <c:f>P1_Analysis!L38</c:f>
              <c:strCache>
                <c:ptCount val="1"/>
                <c:pt idx="0">
                  <c:v>2</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P1_Analysis!$K$39:$K$45</c:f>
              <c:strCache>
                <c:ptCount val="7"/>
                <c:pt idx="0">
                  <c:v>White</c:v>
                </c:pt>
                <c:pt idx="1">
                  <c:v>Dark Blue</c:v>
                </c:pt>
                <c:pt idx="2">
                  <c:v>Yellow</c:v>
                </c:pt>
                <c:pt idx="3">
                  <c:v>Red</c:v>
                </c:pt>
                <c:pt idx="4">
                  <c:v>Orange</c:v>
                </c:pt>
                <c:pt idx="5">
                  <c:v>Light Blue</c:v>
                </c:pt>
                <c:pt idx="6">
                  <c:v>Green</c:v>
                </c:pt>
              </c:strCache>
            </c:strRef>
          </c:cat>
          <c:val>
            <c:numRef>
              <c:f>P1_Analysis!$L$39:$L$45</c:f>
              <c:numCache>
                <c:formatCode>General</c:formatCode>
                <c:ptCount val="7"/>
                <c:pt idx="0">
                  <c:v>20</c:v>
                </c:pt>
                <c:pt idx="1">
                  <c:v>15</c:v>
                </c:pt>
                <c:pt idx="2">
                  <c:v>14</c:v>
                </c:pt>
                <c:pt idx="3">
                  <c:v>14</c:v>
                </c:pt>
                <c:pt idx="4">
                  <c:v>13</c:v>
                </c:pt>
                <c:pt idx="5">
                  <c:v>0</c:v>
                </c:pt>
                <c:pt idx="6">
                  <c:v>0</c:v>
                </c:pt>
              </c:numCache>
            </c:numRef>
          </c:val>
        </c:ser>
        <c:gapWidth val="150"/>
        <c:overlap val="0"/>
        <c:axId val="93270100"/>
        <c:axId val="25934001"/>
      </c:barChart>
      <c:catAx>
        <c:axId val="9327010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Colour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934001"/>
        <c:crosses val="autoZero"/>
        <c:auto val="1"/>
        <c:lblAlgn val="ctr"/>
        <c:lblOffset val="100"/>
        <c:noMultiLvlLbl val="0"/>
      </c:catAx>
      <c:valAx>
        <c:axId val="259340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Defects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2701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2 u-chart</a:t>
            </a:r>
          </a:p>
        </c:rich>
      </c:tx>
      <c:overlay val="0"/>
      <c:spPr>
        <a:noFill/>
        <a:ln w="0">
          <a:noFill/>
        </a:ln>
      </c:spPr>
    </c:title>
    <c:autoTitleDeleted val="0"/>
    <c:plotArea>
      <c:scatterChart>
        <c:scatterStyle val="lineMarker"/>
        <c:varyColors val="0"/>
        <c:ser>
          <c:idx val="0"/>
          <c:order val="0"/>
          <c:tx>
            <c:strRef>
              <c:f>P2_Analysis!B8</c:f>
              <c:strCache>
                <c:ptCount val="1"/>
                <c:pt idx="0">
                  <c:v>u_i</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P2_Analysis!$A$9:$A$38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P2_Analysis!$B$9:$B$38</c:f>
              <c:numCache>
                <c:formatCode>0.000</c:formatCode>
                <c:ptCount val="30"/>
                <c:pt idx="0">
                  <c:v>0.2</c:v>
                </c:pt>
                <c:pt idx="1">
                  <c:v>0.25</c:v>
                </c:pt>
                <c:pt idx="2">
                  <c:v>0.25</c:v>
                </c:pt>
                <c:pt idx="3">
                  <c:v>0.25</c:v>
                </c:pt>
                <c:pt idx="4">
                  <c:v>0.2</c:v>
                </c:pt>
                <c:pt idx="5">
                  <c:v>0.25</c:v>
                </c:pt>
                <c:pt idx="6">
                  <c:v>0.142857142857143</c:v>
                </c:pt>
                <c:pt idx="7">
                  <c:v>0.166666666666667</c:v>
                </c:pt>
                <c:pt idx="8">
                  <c:v>0.2</c:v>
                </c:pt>
                <c:pt idx="9">
                  <c:v>0.2</c:v>
                </c:pt>
                <c:pt idx="10">
                  <c:v>0.166666666666667</c:v>
                </c:pt>
                <c:pt idx="11">
                  <c:v>0.25</c:v>
                </c:pt>
                <c:pt idx="12">
                  <c:v>0.142857142857143</c:v>
                </c:pt>
                <c:pt idx="13">
                  <c:v>0.166666666666667</c:v>
                </c:pt>
                <c:pt idx="14">
                  <c:v>0.2</c:v>
                </c:pt>
                <c:pt idx="15">
                  <c:v>0.2</c:v>
                </c:pt>
                <c:pt idx="16">
                  <c:v>0.25</c:v>
                </c:pt>
                <c:pt idx="17">
                  <c:v>0.25</c:v>
                </c:pt>
                <c:pt idx="18">
                  <c:v>0.2</c:v>
                </c:pt>
                <c:pt idx="19">
                  <c:v>0.2</c:v>
                </c:pt>
                <c:pt idx="20">
                  <c:v>0.25</c:v>
                </c:pt>
                <c:pt idx="21">
                  <c:v>0.142857142857143</c:v>
                </c:pt>
                <c:pt idx="22">
                  <c:v>0.2</c:v>
                </c:pt>
                <c:pt idx="23">
                  <c:v>0.2</c:v>
                </c:pt>
                <c:pt idx="24">
                  <c:v>0.142857142857143</c:v>
                </c:pt>
                <c:pt idx="25">
                  <c:v>0.166666666666667</c:v>
                </c:pt>
                <c:pt idx="26">
                  <c:v>0.25</c:v>
                </c:pt>
                <c:pt idx="27">
                  <c:v>0.25</c:v>
                </c:pt>
                <c:pt idx="28">
                  <c:v>0.25</c:v>
                </c:pt>
                <c:pt idx="29">
                  <c:v>0.2</c:v>
                </c:pt>
              </c:numCache>
            </c:numRef>
          </c:yVal>
          <c:smooth val="1"/>
        </c:ser>
        <c:ser>
          <c:idx val="1"/>
          <c:order val="1"/>
          <c:tx>
            <c:strRef>
              <c:f>P2_Analysis!C8</c:f>
              <c:strCache>
                <c:ptCount val="1"/>
                <c:pt idx="0">
                  <c:v>u_bar</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P2_Analysis!$A$9:$A$38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P2_Analysis!$C$9:$C$38</c:f>
              <c:numCache>
                <c:formatCode>0.000</c:formatCode>
                <c:ptCount val="30"/>
                <c:pt idx="0">
                  <c:v>0.198675496688742</c:v>
                </c:pt>
                <c:pt idx="1">
                  <c:v>0.198675496688742</c:v>
                </c:pt>
                <c:pt idx="2">
                  <c:v>0.198675496688742</c:v>
                </c:pt>
                <c:pt idx="3">
                  <c:v>0.198675496688742</c:v>
                </c:pt>
                <c:pt idx="4">
                  <c:v>0.198675496688742</c:v>
                </c:pt>
                <c:pt idx="5">
                  <c:v>0.198675496688742</c:v>
                </c:pt>
                <c:pt idx="6">
                  <c:v>0.198675496688742</c:v>
                </c:pt>
                <c:pt idx="7">
                  <c:v>0.198675496688742</c:v>
                </c:pt>
                <c:pt idx="8">
                  <c:v>0.198675496688742</c:v>
                </c:pt>
                <c:pt idx="9">
                  <c:v>0.198675496688742</c:v>
                </c:pt>
                <c:pt idx="10">
                  <c:v>0.198675496688742</c:v>
                </c:pt>
                <c:pt idx="11">
                  <c:v>0.198675496688742</c:v>
                </c:pt>
                <c:pt idx="12">
                  <c:v>0.198675496688742</c:v>
                </c:pt>
                <c:pt idx="13">
                  <c:v>0.198675496688742</c:v>
                </c:pt>
                <c:pt idx="14">
                  <c:v>0.198675496688742</c:v>
                </c:pt>
                <c:pt idx="15">
                  <c:v>0.198675496688742</c:v>
                </c:pt>
                <c:pt idx="16">
                  <c:v>0.198675496688742</c:v>
                </c:pt>
                <c:pt idx="17">
                  <c:v>0.198675496688742</c:v>
                </c:pt>
                <c:pt idx="18">
                  <c:v>0.198675496688742</c:v>
                </c:pt>
                <c:pt idx="19">
                  <c:v>0.198675496688742</c:v>
                </c:pt>
                <c:pt idx="20">
                  <c:v>0.198675496688742</c:v>
                </c:pt>
                <c:pt idx="21">
                  <c:v>0.198675496688742</c:v>
                </c:pt>
                <c:pt idx="22">
                  <c:v>0.198675496688742</c:v>
                </c:pt>
                <c:pt idx="23">
                  <c:v>0.198675496688742</c:v>
                </c:pt>
                <c:pt idx="24">
                  <c:v>0.198675496688742</c:v>
                </c:pt>
                <c:pt idx="25">
                  <c:v>0.198675496688742</c:v>
                </c:pt>
                <c:pt idx="26">
                  <c:v>0.198675496688742</c:v>
                </c:pt>
                <c:pt idx="27">
                  <c:v>0.198675496688742</c:v>
                </c:pt>
                <c:pt idx="28">
                  <c:v>0.198675496688742</c:v>
                </c:pt>
                <c:pt idx="29">
                  <c:v>0.198675496688742</c:v>
                </c:pt>
              </c:numCache>
            </c:numRef>
          </c:yVal>
          <c:smooth val="1"/>
        </c:ser>
        <c:ser>
          <c:idx val="2"/>
          <c:order val="2"/>
          <c:tx>
            <c:strRef>
              <c:f>P2_Analysis!D8</c:f>
              <c:strCache>
                <c:ptCount val="1"/>
                <c:pt idx="0">
                  <c:v>UCL_3σ</c:v>
                </c:pt>
              </c:strCache>
            </c:strRef>
          </c:tx>
          <c:spPr>
            <a:solidFill>
              <a:srgbClr val="98b855"/>
            </a:solidFill>
            <a:ln w="28440">
              <a:solidFill>
                <a:srgbClr val="98b855"/>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P2_Analysis!$A$9:$A$38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P2_Analysis!$D$9:$D$38</c:f>
              <c:numCache>
                <c:formatCode>0.000</c:formatCode>
                <c:ptCount val="30"/>
                <c:pt idx="0">
                  <c:v>0.796685441455328</c:v>
                </c:pt>
                <c:pt idx="1">
                  <c:v>0.867270940548232</c:v>
                </c:pt>
                <c:pt idx="2">
                  <c:v>0.867270940548232</c:v>
                </c:pt>
                <c:pt idx="3">
                  <c:v>0.867270940548232</c:v>
                </c:pt>
                <c:pt idx="4">
                  <c:v>0.796685441455328</c:v>
                </c:pt>
                <c:pt idx="5">
                  <c:v>0.867270940548232</c:v>
                </c:pt>
                <c:pt idx="6">
                  <c:v>0.704086145878187</c:v>
                </c:pt>
                <c:pt idx="7">
                  <c:v>0.744581390623871</c:v>
                </c:pt>
                <c:pt idx="8">
                  <c:v>0.796685441455328</c:v>
                </c:pt>
                <c:pt idx="9">
                  <c:v>0.796685441455328</c:v>
                </c:pt>
                <c:pt idx="10">
                  <c:v>0.744581390623871</c:v>
                </c:pt>
                <c:pt idx="11">
                  <c:v>0.867270940548232</c:v>
                </c:pt>
                <c:pt idx="12">
                  <c:v>0.704086145878187</c:v>
                </c:pt>
                <c:pt idx="13">
                  <c:v>0.744581390623871</c:v>
                </c:pt>
                <c:pt idx="14">
                  <c:v>0.796685441455328</c:v>
                </c:pt>
                <c:pt idx="15">
                  <c:v>0.796685441455328</c:v>
                </c:pt>
                <c:pt idx="16">
                  <c:v>0.867270940548232</c:v>
                </c:pt>
                <c:pt idx="17">
                  <c:v>0.867270940548232</c:v>
                </c:pt>
                <c:pt idx="18">
                  <c:v>0.796685441455328</c:v>
                </c:pt>
                <c:pt idx="19">
                  <c:v>0.796685441455328</c:v>
                </c:pt>
                <c:pt idx="20">
                  <c:v>0.867270940548232</c:v>
                </c:pt>
                <c:pt idx="21">
                  <c:v>0.704086145878187</c:v>
                </c:pt>
                <c:pt idx="22">
                  <c:v>0.796685441455328</c:v>
                </c:pt>
                <c:pt idx="23">
                  <c:v>0.796685441455328</c:v>
                </c:pt>
                <c:pt idx="24">
                  <c:v>0.704086145878187</c:v>
                </c:pt>
                <c:pt idx="25">
                  <c:v>0.744581390623871</c:v>
                </c:pt>
                <c:pt idx="26">
                  <c:v>0.867270940548232</c:v>
                </c:pt>
                <c:pt idx="27">
                  <c:v>0.867270940548232</c:v>
                </c:pt>
                <c:pt idx="28">
                  <c:v>0.867270940548232</c:v>
                </c:pt>
                <c:pt idx="29">
                  <c:v>0.796685441455328</c:v>
                </c:pt>
              </c:numCache>
            </c:numRef>
          </c:yVal>
          <c:smooth val="1"/>
        </c:ser>
        <c:ser>
          <c:idx val="3"/>
          <c:order val="3"/>
          <c:tx>
            <c:strRef>
              <c:f>P2_Analysis!E8</c:f>
              <c:strCache>
                <c:ptCount val="1"/>
                <c:pt idx="0">
                  <c:v>LCL_3σ</c:v>
                </c:pt>
              </c:strCache>
            </c:strRef>
          </c:tx>
          <c:spPr>
            <a:solidFill>
              <a:srgbClr val="7d5fa0"/>
            </a:solidFill>
            <a:ln w="28440">
              <a:solidFill>
                <a:srgbClr val="7d5fa0"/>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P2_Analysis!$A$9:$A$38</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P2_Analysis!$E$9:$E$38</c:f>
              <c:numCache>
                <c:formatCode>0.000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1"/>
        </c:ser>
        <c:axId val="65374957"/>
        <c:axId val="76395343"/>
      </c:scatterChart>
      <c:valAx>
        <c:axId val="65374957"/>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Run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395343"/>
        <c:crosses val="autoZero"/>
        <c:crossBetween val="midCat"/>
      </c:valAx>
      <c:valAx>
        <c:axId val="763953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Defects per opportunity</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7495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2 g-chart</a:t>
            </a:r>
          </a:p>
        </c:rich>
      </c:tx>
      <c:overlay val="0"/>
      <c:spPr>
        <a:noFill/>
        <a:ln w="0">
          <a:noFill/>
        </a:ln>
      </c:spPr>
    </c:title>
    <c:autoTitleDeleted val="0"/>
    <c:plotArea>
      <c:scatterChart>
        <c:scatterStyle val="lineMarker"/>
        <c:varyColors val="0"/>
        <c:ser>
          <c:idx val="0"/>
          <c:order val="0"/>
          <c:tx>
            <c:strRef>
              <c:f>P2_Analysis!I11</c:f>
              <c:strCache>
                <c:ptCount val="1"/>
                <c:pt idx="0">
                  <c:v>g_i</c:v>
                </c:pt>
              </c:strCache>
            </c:strRef>
          </c:tx>
          <c:spPr>
            <a:solidFill>
              <a:srgbClr val="ffffff"/>
            </a:solidFill>
            <a:ln w="28440">
              <a:noFill/>
            </a:ln>
          </c:spPr>
          <c:marker>
            <c:symbol val="circle"/>
            <c:size val="5"/>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P2_Analysis!$H$12:$H$41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P2_Analysis!$I$12:$I$41</c:f>
              <c:numCache>
                <c:formatCode>General</c:formatCode>
                <c:ptCount val="30"/>
                <c:pt idx="0">
                  <c:v>4</c:v>
                </c:pt>
                <c:pt idx="1">
                  <c:v>3</c:v>
                </c:pt>
                <c:pt idx="2">
                  <c:v>3</c:v>
                </c:pt>
                <c:pt idx="3">
                  <c:v>3</c:v>
                </c:pt>
                <c:pt idx="4">
                  <c:v>4</c:v>
                </c:pt>
                <c:pt idx="5">
                  <c:v>3</c:v>
                </c:pt>
                <c:pt idx="6">
                  <c:v>6</c:v>
                </c:pt>
                <c:pt idx="7">
                  <c:v>5</c:v>
                </c:pt>
                <c:pt idx="8">
                  <c:v>4</c:v>
                </c:pt>
                <c:pt idx="9">
                  <c:v>4</c:v>
                </c:pt>
                <c:pt idx="10">
                  <c:v>5</c:v>
                </c:pt>
                <c:pt idx="11">
                  <c:v>3</c:v>
                </c:pt>
                <c:pt idx="12">
                  <c:v>6</c:v>
                </c:pt>
                <c:pt idx="13">
                  <c:v>5</c:v>
                </c:pt>
                <c:pt idx="14">
                  <c:v>4</c:v>
                </c:pt>
                <c:pt idx="15">
                  <c:v>4</c:v>
                </c:pt>
                <c:pt idx="16">
                  <c:v>3</c:v>
                </c:pt>
                <c:pt idx="17">
                  <c:v>3</c:v>
                </c:pt>
                <c:pt idx="18">
                  <c:v>4</c:v>
                </c:pt>
                <c:pt idx="19">
                  <c:v>4</c:v>
                </c:pt>
                <c:pt idx="20">
                  <c:v>3</c:v>
                </c:pt>
                <c:pt idx="21">
                  <c:v>6</c:v>
                </c:pt>
                <c:pt idx="22">
                  <c:v>4</c:v>
                </c:pt>
                <c:pt idx="23">
                  <c:v>4</c:v>
                </c:pt>
                <c:pt idx="24">
                  <c:v>6</c:v>
                </c:pt>
                <c:pt idx="25">
                  <c:v>5</c:v>
                </c:pt>
                <c:pt idx="26">
                  <c:v>3</c:v>
                </c:pt>
                <c:pt idx="27">
                  <c:v>3</c:v>
                </c:pt>
                <c:pt idx="28">
                  <c:v>3</c:v>
                </c:pt>
                <c:pt idx="29">
                  <c:v>4</c:v>
                </c:pt>
              </c:numCache>
            </c:numRef>
          </c:yVal>
          <c:smooth val="1"/>
        </c:ser>
        <c:ser>
          <c:idx val="1"/>
          <c:order val="1"/>
          <c:tx>
            <c:strRef>
              <c:f>P2_Analysis!J11</c:f>
              <c:strCache>
                <c:ptCount val="1"/>
                <c:pt idx="0">
                  <c:v>g_bar</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P2_Analysis!$H$12:$H$41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P2_Analysis!$J$12:$J$41</c:f>
              <c:numCache>
                <c:formatCode>0.00</c:formatCode>
                <c:ptCount val="30"/>
                <c:pt idx="0">
                  <c:v>4.03333333333333</c:v>
                </c:pt>
                <c:pt idx="1">
                  <c:v>4.03333333333333</c:v>
                </c:pt>
                <c:pt idx="2">
                  <c:v>4.03333333333333</c:v>
                </c:pt>
                <c:pt idx="3">
                  <c:v>4.03333333333333</c:v>
                </c:pt>
                <c:pt idx="4">
                  <c:v>4.03333333333333</c:v>
                </c:pt>
                <c:pt idx="5">
                  <c:v>4.03333333333333</c:v>
                </c:pt>
                <c:pt idx="6">
                  <c:v>4.03333333333333</c:v>
                </c:pt>
                <c:pt idx="7">
                  <c:v>4.03333333333333</c:v>
                </c:pt>
                <c:pt idx="8">
                  <c:v>4.03333333333333</c:v>
                </c:pt>
                <c:pt idx="9">
                  <c:v>4.03333333333333</c:v>
                </c:pt>
                <c:pt idx="10">
                  <c:v>4.03333333333333</c:v>
                </c:pt>
                <c:pt idx="11">
                  <c:v>4.03333333333333</c:v>
                </c:pt>
                <c:pt idx="12">
                  <c:v>4.03333333333333</c:v>
                </c:pt>
                <c:pt idx="13">
                  <c:v>4.03333333333333</c:v>
                </c:pt>
                <c:pt idx="14">
                  <c:v>4.03333333333333</c:v>
                </c:pt>
                <c:pt idx="15">
                  <c:v>4.03333333333333</c:v>
                </c:pt>
                <c:pt idx="16">
                  <c:v>4.03333333333333</c:v>
                </c:pt>
                <c:pt idx="17">
                  <c:v>4.03333333333333</c:v>
                </c:pt>
                <c:pt idx="18">
                  <c:v>4.03333333333333</c:v>
                </c:pt>
                <c:pt idx="19">
                  <c:v>4.03333333333333</c:v>
                </c:pt>
                <c:pt idx="20">
                  <c:v>4.03333333333333</c:v>
                </c:pt>
                <c:pt idx="21">
                  <c:v>4.03333333333333</c:v>
                </c:pt>
                <c:pt idx="22">
                  <c:v>4.03333333333333</c:v>
                </c:pt>
                <c:pt idx="23">
                  <c:v>4.03333333333333</c:v>
                </c:pt>
                <c:pt idx="24">
                  <c:v>4.03333333333333</c:v>
                </c:pt>
                <c:pt idx="25">
                  <c:v>4.03333333333333</c:v>
                </c:pt>
                <c:pt idx="26">
                  <c:v>4.03333333333333</c:v>
                </c:pt>
                <c:pt idx="27">
                  <c:v>4.03333333333333</c:v>
                </c:pt>
                <c:pt idx="28">
                  <c:v>4.03333333333333</c:v>
                </c:pt>
                <c:pt idx="29">
                  <c:v>4.03333333333333</c:v>
                </c:pt>
              </c:numCache>
            </c:numRef>
          </c:yVal>
          <c:smooth val="1"/>
        </c:ser>
        <c:ser>
          <c:idx val="2"/>
          <c:order val="2"/>
          <c:tx>
            <c:strRef>
              <c:f>P2_Analysis!K11</c:f>
              <c:strCache>
                <c:ptCount val="1"/>
                <c:pt idx="0">
                  <c:v>UCL_3σ</c:v>
                </c:pt>
              </c:strCache>
            </c:strRef>
          </c:tx>
          <c:spPr>
            <a:solidFill>
              <a:srgbClr val="98b855"/>
            </a:solidFill>
            <a:ln w="28440">
              <a:solidFill>
                <a:srgbClr val="98b855"/>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P2_Analysis!$H$12:$H$41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P2_Analysis!$K$12:$K$41</c:f>
              <c:numCache>
                <c:formatCode>0.00</c:formatCode>
                <c:ptCount val="3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numCache>
            </c:numRef>
          </c:yVal>
          <c:smooth val="1"/>
        </c:ser>
        <c:ser>
          <c:idx val="3"/>
          <c:order val="3"/>
          <c:tx>
            <c:strRef>
              <c:f>P2_Analysis!L11</c:f>
              <c:strCache>
                <c:ptCount val="1"/>
                <c:pt idx="0">
                  <c:v>LCL_3σ</c:v>
                </c:pt>
              </c:strCache>
            </c:strRef>
          </c:tx>
          <c:spPr>
            <a:solidFill>
              <a:srgbClr val="7d5fa0"/>
            </a:solidFill>
            <a:ln w="28440">
              <a:solidFill>
                <a:srgbClr val="7d5fa0"/>
              </a:solidFill>
              <a:prstDash val="sys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P2_Analysis!$H$12:$H$41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P2_Analysis!$L$12:$L$41</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yVal>
          <c:smooth val="1"/>
        </c:ser>
        <c:axId val="37545393"/>
        <c:axId val="45408361"/>
      </c:scatterChart>
      <c:valAx>
        <c:axId val="3754539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Run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408361"/>
        <c:crosses val="autoZero"/>
        <c:crossBetween val="midCat"/>
      </c:valAx>
      <c:valAx>
        <c:axId val="454083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Pieces before defect</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54539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Process 2 Pareto — defects by colour</a:t>
            </a:r>
          </a:p>
        </c:rich>
      </c:tx>
      <c:overlay val="0"/>
      <c:spPr>
        <a:noFill/>
        <a:ln w="0">
          <a:noFill/>
        </a:ln>
      </c:spPr>
    </c:title>
    <c:autoTitleDeleted val="0"/>
    <c:plotArea>
      <c:barChart>
        <c:barDir val="col"/>
        <c:grouping val="clustered"/>
        <c:varyColors val="0"/>
        <c:ser>
          <c:idx val="0"/>
          <c:order val="0"/>
          <c:tx>
            <c:strRef>
              <c:f>P2_Analysis!B61</c:f>
              <c:strCache>
                <c:ptCount val="1"/>
                <c:pt idx="0">
                  <c:v>Defects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P2_Analysis!$A$62:$A$68</c:f>
              <c:strCache>
                <c:ptCount val="7"/>
                <c:pt idx="0">
                  <c:v>Orange</c:v>
                </c:pt>
                <c:pt idx="1">
                  <c:v>Red</c:v>
                </c:pt>
                <c:pt idx="2">
                  <c:v>Yellow</c:v>
                </c:pt>
                <c:pt idx="3">
                  <c:v>Dark Blue</c:v>
                </c:pt>
                <c:pt idx="4">
                  <c:v>White</c:v>
                </c:pt>
                <c:pt idx="5">
                  <c:v>Light Blue</c:v>
                </c:pt>
                <c:pt idx="6">
                  <c:v>Green</c:v>
                </c:pt>
              </c:strCache>
            </c:strRef>
          </c:cat>
          <c:val>
            <c:numRef>
              <c:f>P2_Analysis!$B$62:$B$68</c:f>
              <c:numCache>
                <c:formatCode>General</c:formatCode>
                <c:ptCount val="7"/>
                <c:pt idx="0">
                  <c:v>11</c:v>
                </c:pt>
                <c:pt idx="1">
                  <c:v>11</c:v>
                </c:pt>
                <c:pt idx="2">
                  <c:v>4</c:v>
                </c:pt>
                <c:pt idx="3">
                  <c:v>4</c:v>
                </c:pt>
                <c:pt idx="4">
                  <c:v>0</c:v>
                </c:pt>
                <c:pt idx="5">
                  <c:v>0</c:v>
                </c:pt>
                <c:pt idx="6">
                  <c:v>0</c:v>
                </c:pt>
              </c:numCache>
            </c:numRef>
          </c:val>
        </c:ser>
        <c:gapWidth val="150"/>
        <c:overlap val="0"/>
        <c:axId val="25691594"/>
        <c:axId val="22707441"/>
      </c:barChart>
      <c:catAx>
        <c:axId val="256915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Colour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07441"/>
        <c:crosses val="autoZero"/>
        <c:auto val="1"/>
        <c:lblAlgn val="ctr"/>
        <c:lblOffset val="100"/>
        <c:noMultiLvlLbl val="0"/>
      </c:catAx>
      <c:valAx>
        <c:axId val="227074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Defects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6915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DPMO comparison</a:t>
            </a:r>
          </a:p>
        </c:rich>
      </c:tx>
      <c:overlay val="0"/>
      <c:spPr>
        <a:noFill/>
        <a:ln w="0">
          <a:noFill/>
        </a:ln>
      </c:spPr>
    </c:title>
    <c:autoTitleDeleted val="0"/>
    <c:plotArea>
      <c:barChart>
        <c:barDir val="col"/>
        <c:grouping val="clustered"/>
        <c:varyColors val="0"/>
        <c:ser>
          <c:idx val="0"/>
          <c:order val="0"/>
          <c:tx>
            <c:strRef>
              <c:f>Comparison_DPMO_Cost!B41</c:f>
              <c:strCache>
                <c:ptCount val="1"/>
                <c:pt idx="0">
                  <c:v>Process 1</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Comparison_DPMO_Cost!$A$42</c:f>
              <c:strCache>
                <c:ptCount val="1"/>
                <c:pt idx="0">
                  <c:v>DPMO</c:v>
                </c:pt>
              </c:strCache>
            </c:strRef>
          </c:cat>
          <c:val>
            <c:numRef>
              <c:f>Comparison_DPMO_Cost!$B$42</c:f>
              <c:numCache>
                <c:formatCode>#,##0</c:formatCode>
                <c:ptCount val="1"/>
                <c:pt idx="0">
                  <c:v>361904.761904762</c:v>
                </c:pt>
              </c:numCache>
            </c:numRef>
          </c:val>
        </c:ser>
        <c:ser>
          <c:idx val="1"/>
          <c:order val="1"/>
          <c:tx>
            <c:strRef>
              <c:f>Comparison_DPMO_Cost!C41</c:f>
              <c:strCache>
                <c:ptCount val="1"/>
                <c:pt idx="0">
                  <c:v>Process 2</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Comparison_DPMO_Cost!$A$42</c:f>
              <c:strCache>
                <c:ptCount val="1"/>
                <c:pt idx="0">
                  <c:v>DPMO</c:v>
                </c:pt>
              </c:strCache>
            </c:strRef>
          </c:cat>
          <c:val>
            <c:numRef>
              <c:f>Comparison_DPMO_Cost!$C$42</c:f>
              <c:numCache>
                <c:formatCode>#,##0</c:formatCode>
                <c:ptCount val="1"/>
                <c:pt idx="0">
                  <c:v>198675.496688742</c:v>
                </c:pt>
              </c:numCache>
            </c:numRef>
          </c:val>
        </c:ser>
        <c:gapWidth val="150"/>
        <c:overlap val="0"/>
        <c:axId val="22365361"/>
        <c:axId val="74267952"/>
      </c:barChart>
      <c:catAx>
        <c:axId val="2236536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67952"/>
        <c:crosses val="autoZero"/>
        <c:auto val="1"/>
        <c:lblAlgn val="ctr"/>
        <c:lblOffset val="100"/>
        <c:noMultiLvlLbl val="0"/>
      </c:catAx>
      <c:valAx>
        <c:axId val="7426795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653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cost comparison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Comparison_DPMO_Cost!$A$44</c:f>
              <c:strCache>
                <c:ptCount val="1"/>
                <c:pt idx="0">
                  <c:v>Total cost (R)</c:v>
                </c:pt>
              </c:strCache>
            </c:strRef>
          </c:cat>
          <c:val>
            <c:numRef>
              <c:f>Comparison_DPMO_Cost!$B$44</c:f>
              <c:numCache>
                <c:formatCode>#,##0</c:formatCode>
                <c:ptCount val="1"/>
                <c:pt idx="0">
                  <c:v>420</c:v>
                </c:pt>
              </c:numCache>
            </c:numRef>
          </c:val>
        </c:ser>
        <c:ser>
          <c:idx val="1"/>
          <c:order val="1"/>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Comparison_DPMO_Cost!$A$44</c:f>
              <c:strCache>
                <c:ptCount val="1"/>
                <c:pt idx="0">
                  <c:v>Total cost (R)</c:v>
                </c:pt>
              </c:strCache>
            </c:strRef>
          </c:cat>
          <c:val>
            <c:numRef>
              <c:f>Comparison_DPMO_Cost!$C$44</c:f>
              <c:numCache>
                <c:formatCode>#,##0</c:formatCode>
                <c:ptCount val="1"/>
                <c:pt idx="0">
                  <c:v>902</c:v>
                </c:pt>
              </c:numCache>
            </c:numRef>
          </c:val>
        </c:ser>
        <c:gapWidth val="150"/>
        <c:overlap val="0"/>
        <c:axId val="4395331"/>
        <c:axId val="41753702"/>
      </c:barChart>
      <c:catAx>
        <c:axId val="439533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753702"/>
        <c:crosses val="autoZero"/>
        <c:auto val="1"/>
        <c:lblAlgn val="ctr"/>
        <c:lblOffset val="100"/>
        <c:noMultiLvlLbl val="0"/>
      </c:catAx>
      <c:valAx>
        <c:axId val="417537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533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Defect-rate comparison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Comparison_DPMO_Cost!$A$43</c:f>
              <c:strCache>
                <c:ptCount val="1"/>
                <c:pt idx="0">
                  <c:v>Defect rate</c:v>
                </c:pt>
              </c:strCache>
            </c:strRef>
          </c:cat>
          <c:val>
            <c:numRef>
              <c:f>Comparison_DPMO_Cost!$B$43</c:f>
              <c:numCache>
                <c:formatCode>0.000</c:formatCode>
                <c:ptCount val="1"/>
                <c:pt idx="0">
                  <c:v>0.361904761904762</c:v>
                </c:pt>
              </c:numCache>
            </c:numRef>
          </c:val>
        </c:ser>
        <c:ser>
          <c:idx val="1"/>
          <c:order val="1"/>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Comparison_DPMO_Cost!$A$43</c:f>
              <c:strCache>
                <c:ptCount val="1"/>
                <c:pt idx="0">
                  <c:v>Defect rate</c:v>
                </c:pt>
              </c:strCache>
            </c:strRef>
          </c:cat>
          <c:val>
            <c:numRef>
              <c:f>Comparison_DPMO_Cost!$C$43</c:f>
              <c:numCache>
                <c:formatCode>0.000</c:formatCode>
                <c:ptCount val="1"/>
                <c:pt idx="0">
                  <c:v>0.198675496688742</c:v>
                </c:pt>
              </c:numCache>
            </c:numRef>
          </c:val>
        </c:ser>
        <c:gapWidth val="150"/>
        <c:overlap val="0"/>
        <c:axId val="55711045"/>
        <c:axId val="8897850"/>
      </c:barChart>
      <c:catAx>
        <c:axId val="5571104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97850"/>
        <c:crosses val="autoZero"/>
        <c:auto val="1"/>
        <c:lblAlgn val="ctr"/>
        <c:lblOffset val="100"/>
        <c:noMultiLvlLbl val="0"/>
      </c:catAx>
      <c:valAx>
        <c:axId val="8897850"/>
        <c:scaling>
          <c:orientation val="minMax"/>
        </c:scaling>
        <c:delete val="0"/>
        <c:axPos val="l"/>
        <c:majorGridlines>
          <c:spPr>
            <a:ln w="9360">
              <a:solidFill>
                <a:srgbClr val="878787"/>
              </a:solidFill>
              <a:round/>
            </a:ln>
          </c:spPr>
        </c:majorGridlines>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110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_rels/drawing5.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48240</xdr:rowOff>
    </xdr:from>
    <xdr:to>
      <xdr:col>8</xdr:col>
      <xdr:colOff>189000</xdr:colOff>
      <xdr:row>60</xdr:row>
      <xdr:rowOff>68400</xdr:rowOff>
    </xdr:to>
    <xdr:graphicFrame>
      <xdr:nvGraphicFramePr>
        <xdr:cNvPr id="0" name="Chart 1"/>
        <xdr:cNvGraphicFramePr/>
      </xdr:nvGraphicFramePr>
      <xdr:xfrm>
        <a:off x="0" y="8754120"/>
        <a:ext cx="5757480" cy="287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62</xdr:row>
      <xdr:rowOff>48600</xdr:rowOff>
    </xdr:from>
    <xdr:to>
      <xdr:col>8</xdr:col>
      <xdr:colOff>189000</xdr:colOff>
      <xdr:row>77</xdr:row>
      <xdr:rowOff>68400</xdr:rowOff>
    </xdr:to>
    <xdr:graphicFrame>
      <xdr:nvGraphicFramePr>
        <xdr:cNvPr id="1" name="Chart 2"/>
        <xdr:cNvGraphicFramePr/>
      </xdr:nvGraphicFramePr>
      <xdr:xfrm>
        <a:off x="0" y="11993040"/>
        <a:ext cx="5757480" cy="287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18</xdr:row>
      <xdr:rowOff>48240</xdr:rowOff>
    </xdr:from>
    <xdr:to>
      <xdr:col>18</xdr:col>
      <xdr:colOff>109440</xdr:colOff>
      <xdr:row>33</xdr:row>
      <xdr:rowOff>68040</xdr:rowOff>
    </xdr:to>
    <xdr:graphicFrame>
      <xdr:nvGraphicFramePr>
        <xdr:cNvPr id="2" name="Chart 3"/>
        <xdr:cNvGraphicFramePr/>
      </xdr:nvGraphicFramePr>
      <xdr:xfrm>
        <a:off x="7025760" y="3610440"/>
        <a:ext cx="6595920" cy="2877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46</xdr:row>
      <xdr:rowOff>48240</xdr:rowOff>
    </xdr:from>
    <xdr:to>
      <xdr:col>17</xdr:col>
      <xdr:colOff>360720</xdr:colOff>
      <xdr:row>61</xdr:row>
      <xdr:rowOff>68400</xdr:rowOff>
    </xdr:to>
    <xdr:graphicFrame>
      <xdr:nvGraphicFramePr>
        <xdr:cNvPr id="3" name="Chart 4"/>
        <xdr:cNvGraphicFramePr/>
      </xdr:nvGraphicFramePr>
      <xdr:xfrm>
        <a:off x="7025760" y="8944560"/>
        <a:ext cx="6235560" cy="2877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160920</xdr:rowOff>
    </xdr:from>
    <xdr:to>
      <xdr:col>8</xdr:col>
      <xdr:colOff>111240</xdr:colOff>
      <xdr:row>53</xdr:row>
      <xdr:rowOff>180720</xdr:rowOff>
    </xdr:to>
    <xdr:graphicFrame>
      <xdr:nvGraphicFramePr>
        <xdr:cNvPr id="4" name="Chart 1"/>
        <xdr:cNvGraphicFramePr/>
      </xdr:nvGraphicFramePr>
      <xdr:xfrm>
        <a:off x="0" y="7428600"/>
        <a:ext cx="11388960" cy="287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42</xdr:row>
      <xdr:rowOff>160560</xdr:rowOff>
    </xdr:from>
    <xdr:to>
      <xdr:col>13</xdr:col>
      <xdr:colOff>486360</xdr:colOff>
      <xdr:row>57</xdr:row>
      <xdr:rowOff>180720</xdr:rowOff>
    </xdr:to>
    <xdr:graphicFrame>
      <xdr:nvGraphicFramePr>
        <xdr:cNvPr id="5" name="Chart 2"/>
        <xdr:cNvGraphicFramePr/>
      </xdr:nvGraphicFramePr>
      <xdr:xfrm>
        <a:off x="9726840" y="8190000"/>
        <a:ext cx="5397480" cy="2877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68</xdr:row>
      <xdr:rowOff>160920</xdr:rowOff>
    </xdr:from>
    <xdr:to>
      <xdr:col>7</xdr:col>
      <xdr:colOff>941760</xdr:colOff>
      <xdr:row>83</xdr:row>
      <xdr:rowOff>180720</xdr:rowOff>
    </xdr:to>
    <xdr:graphicFrame>
      <xdr:nvGraphicFramePr>
        <xdr:cNvPr id="6" name="Chart 3"/>
        <xdr:cNvGraphicFramePr/>
      </xdr:nvGraphicFramePr>
      <xdr:xfrm>
        <a:off x="0" y="13143600"/>
        <a:ext cx="10668600" cy="2877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160920</xdr:rowOff>
    </xdr:from>
    <xdr:to>
      <xdr:col>2</xdr:col>
      <xdr:colOff>637200</xdr:colOff>
      <xdr:row>59</xdr:row>
      <xdr:rowOff>11160</xdr:rowOff>
    </xdr:to>
    <xdr:graphicFrame>
      <xdr:nvGraphicFramePr>
        <xdr:cNvPr id="7" name="Chart 1"/>
        <xdr:cNvGraphicFramePr/>
      </xdr:nvGraphicFramePr>
      <xdr:xfrm>
        <a:off x="0" y="8762040"/>
        <a:ext cx="3597480" cy="251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45</xdr:row>
      <xdr:rowOff>160920</xdr:rowOff>
    </xdr:from>
    <xdr:to>
      <xdr:col>8</xdr:col>
      <xdr:colOff>73440</xdr:colOff>
      <xdr:row>59</xdr:row>
      <xdr:rowOff>11160</xdr:rowOff>
    </xdr:to>
    <xdr:graphicFrame>
      <xdr:nvGraphicFramePr>
        <xdr:cNvPr id="8" name="Chart 2"/>
        <xdr:cNvGraphicFramePr/>
      </xdr:nvGraphicFramePr>
      <xdr:xfrm>
        <a:off x="4863600" y="8762040"/>
        <a:ext cx="3597480" cy="251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45</xdr:row>
      <xdr:rowOff>160920</xdr:rowOff>
    </xdr:from>
    <xdr:to>
      <xdr:col>15</xdr:col>
      <xdr:colOff>540000</xdr:colOff>
      <xdr:row>59</xdr:row>
      <xdr:rowOff>11160</xdr:rowOff>
    </xdr:to>
    <xdr:graphicFrame>
      <xdr:nvGraphicFramePr>
        <xdr:cNvPr id="9" name="Chart 3"/>
        <xdr:cNvGraphicFramePr/>
      </xdr:nvGraphicFramePr>
      <xdr:xfrm>
        <a:off x="9986040" y="8762040"/>
        <a:ext cx="3597480" cy="2517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0"/>
    <col collapsed="false" customWidth="true" hidden="false" outlineLevel="0" max="3" min="3" style="1" width="22"/>
    <col collapsed="false" customWidth="true" hidden="false" outlineLevel="0" max="8" min="4" style="1" width="14"/>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5" t="s">
        <v>3</v>
      </c>
    </row>
    <row r="6" customFormat="false" ht="15" hidden="false" customHeight="true" outlineLevel="0" collapsed="false">
      <c r="A6" s="6" t="s">
        <v>4</v>
      </c>
    </row>
    <row r="7" customFormat="false" ht="15" hidden="false" customHeight="true" outlineLevel="0" collapsed="false">
      <c r="A7" s="7" t="s">
        <v>5</v>
      </c>
      <c r="B7" s="7"/>
      <c r="C7" s="7"/>
      <c r="D7" s="7"/>
      <c r="E7" s="7"/>
      <c r="F7" s="7"/>
      <c r="G7" s="7"/>
      <c r="H7" s="7"/>
    </row>
    <row r="8" customFormat="false" ht="15" hidden="false" customHeight="true" outlineLevel="0" collapsed="false">
      <c r="A8" s="7"/>
      <c r="B8" s="7"/>
      <c r="C8" s="7"/>
      <c r="D8" s="7"/>
      <c r="E8" s="7"/>
      <c r="F8" s="7"/>
      <c r="G8" s="7"/>
      <c r="H8" s="7"/>
    </row>
    <row r="9" customFormat="false" ht="15" hidden="false" customHeight="true" outlineLevel="0" collapsed="false">
      <c r="A9" s="7"/>
      <c r="B9" s="7"/>
      <c r="C9" s="7"/>
      <c r="D9" s="7"/>
      <c r="E9" s="7"/>
      <c r="F9" s="7"/>
      <c r="G9" s="7"/>
      <c r="H9" s="7"/>
    </row>
    <row r="11" customFormat="false" ht="15" hidden="false" customHeight="true" outlineLevel="0" collapsed="false">
      <c r="A11" s="6" t="s">
        <v>6</v>
      </c>
    </row>
    <row r="12" customFormat="false" ht="15" hidden="false" customHeight="true" outlineLevel="0" collapsed="false">
      <c r="A12" s="8" t="s">
        <v>7</v>
      </c>
      <c r="B12" s="8"/>
      <c r="C12" s="8"/>
      <c r="D12" s="8"/>
      <c r="E12" s="8"/>
      <c r="F12" s="8"/>
      <c r="G12" s="8"/>
      <c r="H12" s="8"/>
    </row>
    <row r="13" customFormat="false" ht="15" hidden="false" customHeight="true" outlineLevel="0" collapsed="false">
      <c r="A13" s="8"/>
      <c r="B13" s="8"/>
      <c r="C13" s="8"/>
      <c r="D13" s="8"/>
      <c r="E13" s="8"/>
      <c r="F13" s="8"/>
      <c r="G13" s="8"/>
      <c r="H13" s="8"/>
    </row>
    <row r="14" customFormat="false" ht="15" hidden="false" customHeight="true" outlineLevel="0" collapsed="false">
      <c r="A14" s="8"/>
      <c r="B14" s="8"/>
      <c r="C14" s="8"/>
      <c r="D14" s="8"/>
      <c r="E14" s="8"/>
      <c r="F14" s="8"/>
      <c r="G14" s="8"/>
      <c r="H14" s="8"/>
    </row>
    <row r="16" customFormat="false" ht="15" hidden="false" customHeight="true" outlineLevel="0" collapsed="false">
      <c r="A16" s="6" t="s">
        <v>8</v>
      </c>
    </row>
    <row r="17" customFormat="false" ht="15" hidden="false" customHeight="true" outlineLevel="0" collapsed="false">
      <c r="A17" s="9" t="s">
        <v>9</v>
      </c>
      <c r="B17" s="9" t="s">
        <v>10</v>
      </c>
      <c r="C17" s="9"/>
      <c r="D17" s="9"/>
      <c r="E17" s="9"/>
      <c r="F17" s="9"/>
      <c r="G17" s="9"/>
      <c r="H17" s="9"/>
    </row>
    <row r="18" customFormat="false" ht="15" hidden="false" customHeight="true" outlineLevel="0" collapsed="false">
      <c r="A18" s="10" t="s">
        <v>11</v>
      </c>
      <c r="B18" s="11" t="s">
        <v>12</v>
      </c>
      <c r="C18" s="11"/>
      <c r="D18" s="11"/>
      <c r="E18" s="11"/>
      <c r="F18" s="11"/>
      <c r="G18" s="11"/>
      <c r="H18" s="11"/>
    </row>
    <row r="19" customFormat="false" ht="15" hidden="false" customHeight="true" outlineLevel="0" collapsed="false">
      <c r="A19" s="10" t="s">
        <v>13</v>
      </c>
      <c r="B19" s="11" t="s">
        <v>14</v>
      </c>
      <c r="C19" s="11"/>
      <c r="D19" s="11"/>
      <c r="E19" s="11"/>
      <c r="F19" s="11"/>
      <c r="G19" s="11"/>
      <c r="H19" s="11"/>
    </row>
    <row r="20" customFormat="false" ht="15" hidden="false" customHeight="true" outlineLevel="0" collapsed="false">
      <c r="A20" s="10" t="s">
        <v>15</v>
      </c>
      <c r="B20" s="11" t="s">
        <v>16</v>
      </c>
      <c r="C20" s="11"/>
      <c r="D20" s="11"/>
      <c r="E20" s="11"/>
      <c r="F20" s="11"/>
      <c r="G20" s="11"/>
      <c r="H20" s="11"/>
    </row>
    <row r="21" customFormat="false" ht="15" hidden="false" customHeight="true" outlineLevel="0" collapsed="false">
      <c r="A21" s="10" t="s">
        <v>17</v>
      </c>
      <c r="B21" s="11" t="s">
        <v>18</v>
      </c>
      <c r="C21" s="11"/>
      <c r="D21" s="11"/>
      <c r="E21" s="11"/>
      <c r="F21" s="11"/>
      <c r="G21" s="11"/>
      <c r="H21" s="11"/>
    </row>
    <row r="23" customFormat="false" ht="15" hidden="false" customHeight="true" outlineLevel="0" collapsed="false">
      <c r="A23" s="6" t="s">
        <v>19</v>
      </c>
    </row>
    <row r="24" customFormat="false" ht="15" hidden="false" customHeight="true" outlineLevel="0" collapsed="false">
      <c r="A24" s="9" t="s">
        <v>20</v>
      </c>
      <c r="B24" s="9" t="s">
        <v>21</v>
      </c>
      <c r="C24" s="9" t="s">
        <v>22</v>
      </c>
      <c r="D24" s="9" t="s">
        <v>23</v>
      </c>
      <c r="E24" s="9"/>
      <c r="F24" s="9"/>
      <c r="G24" s="9"/>
      <c r="H24" s="9"/>
    </row>
    <row r="25" customFormat="false" ht="15" hidden="false" customHeight="true" outlineLevel="0" collapsed="false">
      <c r="A25" s="11" t="s">
        <v>24</v>
      </c>
      <c r="B25" s="11" t="s">
        <v>25</v>
      </c>
      <c r="C25" s="11" t="s">
        <v>26</v>
      </c>
      <c r="D25" s="11" t="s">
        <v>27</v>
      </c>
      <c r="E25" s="11"/>
      <c r="F25" s="11"/>
      <c r="G25" s="11"/>
      <c r="H25" s="11"/>
    </row>
    <row r="26" customFormat="false" ht="15" hidden="false" customHeight="true" outlineLevel="0" collapsed="false">
      <c r="A26" s="11" t="s">
        <v>24</v>
      </c>
      <c r="B26" s="11" t="s">
        <v>25</v>
      </c>
      <c r="C26" s="11" t="s">
        <v>28</v>
      </c>
      <c r="D26" s="11" t="s">
        <v>29</v>
      </c>
      <c r="E26" s="11"/>
      <c r="F26" s="11"/>
      <c r="G26" s="11"/>
      <c r="H26" s="11"/>
    </row>
    <row r="27" customFormat="false" ht="15" hidden="false" customHeight="true" outlineLevel="0" collapsed="false">
      <c r="A27" s="11" t="s">
        <v>24</v>
      </c>
      <c r="B27" s="11" t="s">
        <v>30</v>
      </c>
      <c r="C27" s="11" t="s">
        <v>31</v>
      </c>
      <c r="D27" s="11" t="s">
        <v>32</v>
      </c>
      <c r="E27" s="11"/>
      <c r="F27" s="11"/>
      <c r="G27" s="11"/>
      <c r="H27" s="11"/>
    </row>
    <row r="28" customFormat="false" ht="15" hidden="false" customHeight="true" outlineLevel="0" collapsed="false">
      <c r="A28" s="11" t="s">
        <v>33</v>
      </c>
      <c r="B28" s="11" t="s">
        <v>34</v>
      </c>
      <c r="C28" s="11" t="s">
        <v>35</v>
      </c>
      <c r="D28" s="11" t="s">
        <v>36</v>
      </c>
      <c r="E28" s="11"/>
      <c r="F28" s="11"/>
      <c r="G28" s="11"/>
      <c r="H28" s="11"/>
    </row>
    <row r="29" customFormat="false" ht="15" hidden="false" customHeight="true" outlineLevel="0" collapsed="false">
      <c r="A29" s="11" t="s">
        <v>33</v>
      </c>
      <c r="B29" s="11" t="s">
        <v>37</v>
      </c>
      <c r="C29" s="11" t="s">
        <v>38</v>
      </c>
      <c r="D29" s="11" t="s">
        <v>39</v>
      </c>
      <c r="E29" s="11"/>
      <c r="F29" s="11"/>
      <c r="G29" s="11"/>
      <c r="H29" s="11"/>
    </row>
    <row r="30" customFormat="false" ht="15" hidden="false" customHeight="true" outlineLevel="0" collapsed="false">
      <c r="A30" s="11" t="s">
        <v>40</v>
      </c>
      <c r="B30" s="11" t="s">
        <v>41</v>
      </c>
      <c r="C30" s="11" t="s">
        <v>42</v>
      </c>
      <c r="D30" s="11" t="s">
        <v>43</v>
      </c>
      <c r="E30" s="11"/>
      <c r="F30" s="11"/>
      <c r="G30" s="11"/>
      <c r="H30" s="11"/>
    </row>
    <row r="33" customFormat="false" ht="15" hidden="false" customHeight="true" outlineLevel="0" collapsed="false">
      <c r="A33" s="6" t="s">
        <v>44</v>
      </c>
    </row>
    <row r="34" customFormat="false" ht="30" hidden="false" customHeight="true" outlineLevel="0" collapsed="false">
      <c r="A34" s="9" t="s">
        <v>45</v>
      </c>
      <c r="B34" s="9" t="s">
        <v>46</v>
      </c>
      <c r="C34" s="9" t="s">
        <v>47</v>
      </c>
    </row>
    <row r="35" customFormat="false" ht="30" hidden="false" customHeight="true" outlineLevel="0" collapsed="false">
      <c r="A35" s="11" t="s">
        <v>48</v>
      </c>
      <c r="B35" s="11" t="s">
        <v>49</v>
      </c>
      <c r="C35" s="11" t="s">
        <v>50</v>
      </c>
    </row>
    <row r="36" customFormat="false" ht="30" hidden="false" customHeight="true" outlineLevel="0" collapsed="false">
      <c r="A36" s="11" t="s">
        <v>51</v>
      </c>
      <c r="B36" s="11" t="s">
        <v>52</v>
      </c>
      <c r="C36" s="11" t="s">
        <v>53</v>
      </c>
    </row>
    <row r="37" customFormat="false" ht="30" hidden="false" customHeight="true" outlineLevel="0" collapsed="false">
      <c r="A37" s="11" t="s">
        <v>54</v>
      </c>
      <c r="B37" s="11" t="s">
        <v>55</v>
      </c>
      <c r="C37" s="11" t="s">
        <v>56</v>
      </c>
    </row>
    <row r="38" customFormat="false" ht="30" hidden="false" customHeight="true" outlineLevel="0" collapsed="false">
      <c r="A38" s="11" t="s">
        <v>57</v>
      </c>
      <c r="B38" s="11" t="s">
        <v>58</v>
      </c>
      <c r="C38" s="11" t="s">
        <v>59</v>
      </c>
    </row>
    <row r="39" customFormat="false" ht="30" hidden="false" customHeight="true" outlineLevel="0" collapsed="false">
      <c r="A39" s="11" t="s">
        <v>60</v>
      </c>
      <c r="B39" s="11" t="s">
        <v>61</v>
      </c>
      <c r="C39" s="11" t="s">
        <v>62</v>
      </c>
    </row>
    <row r="41" customFormat="false" ht="15" hidden="false" customHeight="true" outlineLevel="0" collapsed="false">
      <c r="A41" s="6" t="s">
        <v>63</v>
      </c>
    </row>
    <row r="42" customFormat="false" ht="15" hidden="false" customHeight="true" outlineLevel="0" collapsed="false">
      <c r="A42" s="12" t="s">
        <v>64</v>
      </c>
      <c r="B42" s="12"/>
      <c r="C42" s="12"/>
      <c r="D42" s="12"/>
      <c r="E42" s="12"/>
      <c r="F42" s="12"/>
      <c r="G42" s="12"/>
      <c r="H42" s="12"/>
    </row>
    <row r="43" customFormat="false" ht="15" hidden="false" customHeight="true" outlineLevel="0" collapsed="false">
      <c r="A43" s="12" t="s">
        <v>65</v>
      </c>
      <c r="B43" s="12"/>
      <c r="C43" s="12"/>
      <c r="D43" s="12"/>
      <c r="E43" s="12"/>
      <c r="F43" s="12"/>
      <c r="G43" s="12"/>
      <c r="H43" s="12"/>
    </row>
    <row r="44" customFormat="false" ht="15" hidden="false" customHeight="true" outlineLevel="0" collapsed="false">
      <c r="A44" s="12" t="s">
        <v>66</v>
      </c>
      <c r="B44" s="12"/>
      <c r="C44" s="12"/>
      <c r="D44" s="12"/>
      <c r="E44" s="12"/>
      <c r="F44" s="12"/>
      <c r="G44" s="12"/>
      <c r="H44" s="12"/>
    </row>
    <row r="45" customFormat="false" ht="15" hidden="false" customHeight="true" outlineLevel="0" collapsed="false">
      <c r="A45" s="12" t="s">
        <v>67</v>
      </c>
      <c r="B45" s="12"/>
      <c r="C45" s="12"/>
      <c r="D45" s="12"/>
      <c r="E45" s="12"/>
      <c r="F45" s="12"/>
      <c r="G45" s="12"/>
      <c r="H45" s="12"/>
    </row>
    <row r="46" customFormat="false" ht="15" hidden="false" customHeight="true" outlineLevel="0" collapsed="false">
      <c r="A46" s="12" t="s">
        <v>68</v>
      </c>
      <c r="B46" s="12"/>
      <c r="C46" s="12"/>
      <c r="D46" s="12"/>
      <c r="E46" s="12"/>
      <c r="F46" s="12"/>
      <c r="G46" s="12"/>
      <c r="H46" s="12"/>
    </row>
    <row r="47" customFormat="false" ht="15" hidden="false" customHeight="true" outlineLevel="0" collapsed="false">
      <c r="A47" s="12" t="s">
        <v>69</v>
      </c>
      <c r="B47" s="12"/>
      <c r="C47" s="12"/>
      <c r="D47" s="12"/>
      <c r="E47" s="12"/>
      <c r="F47" s="12"/>
      <c r="G47" s="12"/>
      <c r="H47" s="12"/>
    </row>
  </sheetData>
  <mergeCells count="20">
    <mergeCell ref="A7:H9"/>
    <mergeCell ref="A12:H14"/>
    <mergeCell ref="B17:H17"/>
    <mergeCell ref="B18:H18"/>
    <mergeCell ref="B19:H19"/>
    <mergeCell ref="B20:H20"/>
    <mergeCell ref="B21:H21"/>
    <mergeCell ref="D24:H24"/>
    <mergeCell ref="D25:H25"/>
    <mergeCell ref="D26:H26"/>
    <mergeCell ref="D27:H27"/>
    <mergeCell ref="D28:H28"/>
    <mergeCell ref="D29:H29"/>
    <mergeCell ref="D30:H30"/>
    <mergeCell ref="A42:H42"/>
    <mergeCell ref="A43:H43"/>
    <mergeCell ref="A44:H44"/>
    <mergeCell ref="A45:H45"/>
    <mergeCell ref="A46:H46"/>
    <mergeCell ref="A47:H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3" min="3" style="1" width="7"/>
    <col collapsed="false" customWidth="true" hidden="false" outlineLevel="0" max="4" min="4" style="1" width="8"/>
    <col collapsed="false" customWidth="true" hidden="false" outlineLevel="0" max="5" min="5" style="1" width="16"/>
    <col collapsed="false" customWidth="true" hidden="false" outlineLevel="0" max="6" min="6" style="1" width="18"/>
    <col collapsed="false" customWidth="true" hidden="false" outlineLevel="0" max="7" min="7" style="1" width="11"/>
    <col collapsed="false" customWidth="true" hidden="false" outlineLevel="0" max="8" min="8" style="1" width="15"/>
    <col collapsed="false" customWidth="true" hidden="false" outlineLevel="0" max="9" min="9" style="1" width="12"/>
    <col collapsed="false" customWidth="true" hidden="false" outlineLevel="0" max="10" min="10" style="1" width="4"/>
    <col collapsed="false" customWidth="true" hidden="false" outlineLevel="0" max="11" min="11" style="1" width="9"/>
    <col collapsed="false" customWidth="true" hidden="false" outlineLevel="0" max="12" min="12" style="1" width="12"/>
    <col collapsed="false" customWidth="true" hidden="false" outlineLevel="0" max="13" min="13" style="1" width="7"/>
    <col collapsed="false" customWidth="true" hidden="false" outlineLevel="0" max="14" min="14" style="1" width="6"/>
    <col collapsed="false" customWidth="true" hidden="false" outlineLevel="0" max="15" min="15" style="1" width="13"/>
    <col collapsed="false" customWidth="true" hidden="false" outlineLevel="0" max="16" min="16" style="1" width="14"/>
    <col collapsed="false" customWidth="true" hidden="false" outlineLevel="0" max="19" min="17" style="1" width="16"/>
    <col collapsed="false" customWidth="true" hidden="false" outlineLevel="0" max="20" min="20" style="1" width="9"/>
    <col collapsed="false" customWidth="true" hidden="false" outlineLevel="0" max="21" min="21" style="1" width="22"/>
    <col collapsed="false" customWidth="true" hidden="false" outlineLevel="0" max="22" min="22" style="1" width="30"/>
    <col collapsed="false" customWidth="true" hidden="false" outlineLevel="0" max="23" min="23" style="1" width="18"/>
    <col collapsed="false" customWidth="true" hidden="false" outlineLevel="0" max="24" min="24" style="1" width="12"/>
  </cols>
  <sheetData>
    <row r="1" customFormat="false" ht="15.75" hidden="false" customHeight="true" outlineLevel="0" collapsed="false">
      <c r="A1" s="13" t="s">
        <v>70</v>
      </c>
    </row>
    <row r="2" customFormat="false" ht="15" hidden="false" customHeight="true" outlineLevel="0" collapsed="false">
      <c r="A2" s="14" t="s">
        <v>71</v>
      </c>
      <c r="B2" s="14"/>
      <c r="C2" s="14"/>
      <c r="D2" s="14"/>
      <c r="E2" s="14"/>
      <c r="F2" s="14"/>
      <c r="G2" s="14"/>
      <c r="H2" s="14"/>
      <c r="I2" s="14"/>
      <c r="J2" s="14"/>
      <c r="K2" s="14"/>
      <c r="L2" s="14"/>
      <c r="M2" s="14"/>
      <c r="N2" s="14"/>
      <c r="O2" s="14"/>
      <c r="P2" s="14"/>
      <c r="Q2" s="14"/>
      <c r="R2" s="14"/>
      <c r="S2" s="14"/>
      <c r="T2" s="14"/>
      <c r="U2" s="14"/>
      <c r="V2" s="14"/>
      <c r="W2" s="14"/>
      <c r="X2" s="14"/>
    </row>
    <row r="3" customFormat="false" ht="15" hidden="false" customHeight="true" outlineLevel="0" collapsed="false">
      <c r="A3" s="14"/>
      <c r="B3" s="14"/>
      <c r="C3" s="14"/>
      <c r="D3" s="14"/>
      <c r="E3" s="14"/>
      <c r="F3" s="14"/>
      <c r="G3" s="14"/>
      <c r="H3" s="14"/>
      <c r="I3" s="14"/>
      <c r="J3" s="14"/>
      <c r="K3" s="14"/>
      <c r="L3" s="14"/>
      <c r="M3" s="14"/>
      <c r="N3" s="14"/>
      <c r="O3" s="14"/>
      <c r="P3" s="14"/>
      <c r="Q3" s="14"/>
      <c r="R3" s="14"/>
      <c r="S3" s="14"/>
      <c r="T3" s="14"/>
      <c r="U3" s="14"/>
      <c r="V3" s="14"/>
      <c r="W3" s="14"/>
      <c r="X3" s="14"/>
    </row>
    <row r="4" customFormat="false" ht="15" hidden="false" customHeight="true" outlineLevel="0" collapsed="false">
      <c r="A4" s="14"/>
      <c r="B4" s="14"/>
      <c r="C4" s="14"/>
      <c r="D4" s="14"/>
      <c r="E4" s="14"/>
      <c r="F4" s="14"/>
      <c r="G4" s="14"/>
      <c r="H4" s="14"/>
      <c r="I4" s="14"/>
      <c r="J4" s="14"/>
      <c r="K4" s="14"/>
      <c r="L4" s="14"/>
      <c r="M4" s="14"/>
      <c r="N4" s="14"/>
      <c r="O4" s="14"/>
      <c r="P4" s="14"/>
      <c r="Q4" s="14"/>
      <c r="R4" s="14"/>
      <c r="S4" s="14"/>
      <c r="T4" s="14"/>
      <c r="U4" s="14"/>
      <c r="V4" s="14"/>
      <c r="W4" s="14"/>
      <c r="X4" s="14"/>
    </row>
    <row r="6" customFormat="false" ht="42.75" hidden="false" customHeight="true" outlineLevel="0" collapsed="false">
      <c r="A6" s="15" t="s">
        <v>72</v>
      </c>
      <c r="B6" s="15" t="s">
        <v>73</v>
      </c>
      <c r="C6" s="15" t="s">
        <v>74</v>
      </c>
      <c r="D6" s="15" t="s">
        <v>75</v>
      </c>
      <c r="E6" s="15" t="s">
        <v>76</v>
      </c>
      <c r="F6" s="15" t="s">
        <v>77</v>
      </c>
      <c r="G6" s="15" t="s">
        <v>78</v>
      </c>
      <c r="H6" s="15" t="s">
        <v>79</v>
      </c>
      <c r="I6" s="15" t="s">
        <v>80</v>
      </c>
      <c r="J6" s="15" t="s">
        <v>81</v>
      </c>
      <c r="K6" s="15" t="s">
        <v>82</v>
      </c>
      <c r="L6" s="15" t="s">
        <v>83</v>
      </c>
      <c r="M6" s="15" t="s">
        <v>84</v>
      </c>
      <c r="N6" s="15" t="s">
        <v>85</v>
      </c>
      <c r="O6" s="15" t="s">
        <v>86</v>
      </c>
      <c r="P6" s="15" t="s">
        <v>87</v>
      </c>
      <c r="Q6" s="15" t="s">
        <v>88</v>
      </c>
      <c r="R6" s="15" t="s">
        <v>89</v>
      </c>
      <c r="S6" s="15" t="s">
        <v>90</v>
      </c>
      <c r="T6" s="15" t="s">
        <v>91</v>
      </c>
      <c r="U6" s="15" t="s">
        <v>92</v>
      </c>
      <c r="V6" s="15" t="s">
        <v>93</v>
      </c>
      <c r="W6" s="15" t="s">
        <v>94</v>
      </c>
      <c r="X6" s="15" t="s">
        <v>95</v>
      </c>
    </row>
    <row r="7" customFormat="false" ht="15" hidden="false" customHeight="true" outlineLevel="0" collapsed="false">
      <c r="A7" s="16" t="n">
        <v>1</v>
      </c>
      <c r="B7" s="17" t="s">
        <v>96</v>
      </c>
      <c r="C7" s="16" t="s">
        <v>97</v>
      </c>
      <c r="D7" s="18" t="s">
        <v>98</v>
      </c>
      <c r="E7" s="18" t="s">
        <v>99</v>
      </c>
      <c r="F7" s="18" t="s">
        <v>100</v>
      </c>
      <c r="G7" s="17" t="s">
        <v>101</v>
      </c>
      <c r="H7" s="18" t="s">
        <v>102</v>
      </c>
      <c r="I7" s="18" t="s">
        <v>103</v>
      </c>
      <c r="J7" s="16" t="n">
        <v>5</v>
      </c>
      <c r="K7" s="17" t="n">
        <v>3</v>
      </c>
      <c r="L7" s="16" t="n">
        <f aca="false">J7-K7</f>
        <v>2</v>
      </c>
      <c r="M7" s="19" t="n">
        <f aca="false">K7/J7</f>
        <v>0.6</v>
      </c>
      <c r="N7" s="16" t="n">
        <f aca="false">K7</f>
        <v>3</v>
      </c>
      <c r="O7" s="16" t="str">
        <f aca="false">IF(K7=0,"Accept",IF(K7&gt;=3,"Reject batch","Rework"))</f>
        <v>Reject batch</v>
      </c>
      <c r="P7" s="16"/>
      <c r="Q7" s="16"/>
      <c r="R7" s="16"/>
      <c r="S7" s="18" t="s">
        <v>104</v>
      </c>
      <c r="T7" s="16" t="n">
        <v>0</v>
      </c>
      <c r="U7" s="18" t="s">
        <v>105</v>
      </c>
      <c r="V7" s="18" t="s">
        <v>106</v>
      </c>
      <c r="W7" s="18" t="s">
        <v>107</v>
      </c>
      <c r="X7" s="16" t="s">
        <v>108</v>
      </c>
    </row>
    <row r="8" customFormat="false" ht="15" hidden="false" customHeight="true" outlineLevel="0" collapsed="false">
      <c r="A8" s="16" t="n">
        <v>2</v>
      </c>
      <c r="B8" s="17" t="s">
        <v>96</v>
      </c>
      <c r="C8" s="16" t="s">
        <v>97</v>
      </c>
      <c r="D8" s="18" t="s">
        <v>98</v>
      </c>
      <c r="E8" s="18" t="s">
        <v>99</v>
      </c>
      <c r="F8" s="18" t="s">
        <v>100</v>
      </c>
      <c r="G8" s="17" t="s">
        <v>101</v>
      </c>
      <c r="H8" s="18" t="s">
        <v>102</v>
      </c>
      <c r="I8" s="18" t="s">
        <v>103</v>
      </c>
      <c r="J8" s="16" t="n">
        <v>5</v>
      </c>
      <c r="K8" s="17" t="n">
        <v>0</v>
      </c>
      <c r="L8" s="16" t="n">
        <f aca="false">J8-K8</f>
        <v>5</v>
      </c>
      <c r="M8" s="19" t="n">
        <f aca="false">K8/J8</f>
        <v>0</v>
      </c>
      <c r="N8" s="16" t="n">
        <f aca="false">K8</f>
        <v>0</v>
      </c>
      <c r="O8" s="16" t="str">
        <f aca="false">IF(K8=0,"Accept",IF(K8&gt;=3,"Reject batch","Rework"))</f>
        <v>Accept</v>
      </c>
      <c r="P8" s="16"/>
      <c r="Q8" s="16"/>
      <c r="R8" s="16"/>
      <c r="S8" s="18" t="s">
        <v>105</v>
      </c>
      <c r="T8" s="16" t="n">
        <v>0</v>
      </c>
      <c r="U8" s="18" t="s">
        <v>105</v>
      </c>
      <c r="V8" s="18" t="s">
        <v>106</v>
      </c>
      <c r="W8" s="18" t="s">
        <v>107</v>
      </c>
      <c r="X8" s="16" t="s">
        <v>108</v>
      </c>
    </row>
    <row r="9" customFormat="false" ht="15" hidden="false" customHeight="true" outlineLevel="0" collapsed="false">
      <c r="A9" s="16" t="n">
        <v>3</v>
      </c>
      <c r="B9" s="17" t="s">
        <v>96</v>
      </c>
      <c r="C9" s="16" t="s">
        <v>97</v>
      </c>
      <c r="D9" s="18" t="s">
        <v>98</v>
      </c>
      <c r="E9" s="18" t="s">
        <v>99</v>
      </c>
      <c r="F9" s="18" t="s">
        <v>100</v>
      </c>
      <c r="G9" s="17" t="s">
        <v>101</v>
      </c>
      <c r="H9" s="18" t="s">
        <v>102</v>
      </c>
      <c r="I9" s="18" t="s">
        <v>103</v>
      </c>
      <c r="J9" s="16" t="n">
        <v>5</v>
      </c>
      <c r="K9" s="17" t="n">
        <v>4</v>
      </c>
      <c r="L9" s="16" t="n">
        <f aca="false">J9-K9</f>
        <v>1</v>
      </c>
      <c r="M9" s="19" t="n">
        <f aca="false">K9/J9</f>
        <v>0.8</v>
      </c>
      <c r="N9" s="16" t="n">
        <f aca="false">K9</f>
        <v>4</v>
      </c>
      <c r="O9" s="16" t="str">
        <f aca="false">IF(K9=0,"Accept",IF(K9&gt;=3,"Reject batch","Rework"))</f>
        <v>Reject batch</v>
      </c>
      <c r="P9" s="16"/>
      <c r="Q9" s="16"/>
      <c r="R9" s="16"/>
      <c r="S9" s="18" t="s">
        <v>104</v>
      </c>
      <c r="T9" s="20" t="n">
        <v>1</v>
      </c>
      <c r="U9" s="20" t="s">
        <v>109</v>
      </c>
      <c r="V9" s="18" t="s">
        <v>110</v>
      </c>
      <c r="W9" s="18" t="s">
        <v>111</v>
      </c>
      <c r="X9" s="16" t="s">
        <v>108</v>
      </c>
    </row>
    <row r="10" customFormat="false" ht="15" hidden="false" customHeight="true" outlineLevel="0" collapsed="false">
      <c r="A10" s="16" t="n">
        <v>4</v>
      </c>
      <c r="B10" s="17" t="s">
        <v>96</v>
      </c>
      <c r="C10" s="16" t="s">
        <v>97</v>
      </c>
      <c r="D10" s="18" t="s">
        <v>98</v>
      </c>
      <c r="E10" s="18" t="s">
        <v>99</v>
      </c>
      <c r="F10" s="18" t="s">
        <v>100</v>
      </c>
      <c r="G10" s="17" t="s">
        <v>101</v>
      </c>
      <c r="H10" s="18" t="s">
        <v>102</v>
      </c>
      <c r="I10" s="18" t="s">
        <v>103</v>
      </c>
      <c r="J10" s="16" t="n">
        <v>5</v>
      </c>
      <c r="K10" s="17" t="n">
        <v>2</v>
      </c>
      <c r="L10" s="16" t="n">
        <f aca="false">J10-K10</f>
        <v>3</v>
      </c>
      <c r="M10" s="19" t="n">
        <f aca="false">K10/J10</f>
        <v>0.4</v>
      </c>
      <c r="N10" s="16" t="n">
        <f aca="false">K10</f>
        <v>2</v>
      </c>
      <c r="O10" s="16" t="str">
        <f aca="false">IF(K10=0,"Accept",IF(K10&gt;=3,"Reject batch","Rework"))</f>
        <v>Rework</v>
      </c>
      <c r="P10" s="16"/>
      <c r="Q10" s="16"/>
      <c r="R10" s="16"/>
      <c r="S10" s="18" t="s">
        <v>104</v>
      </c>
      <c r="T10" s="16" t="n">
        <v>0</v>
      </c>
      <c r="U10" s="18" t="s">
        <v>105</v>
      </c>
      <c r="V10" s="18" t="s">
        <v>106</v>
      </c>
      <c r="W10" s="18" t="s">
        <v>107</v>
      </c>
      <c r="X10" s="16" t="s">
        <v>108</v>
      </c>
    </row>
    <row r="11" customFormat="false" ht="15" hidden="false" customHeight="true" outlineLevel="0" collapsed="false">
      <c r="A11" s="16" t="n">
        <v>5</v>
      </c>
      <c r="B11" s="17" t="s">
        <v>96</v>
      </c>
      <c r="C11" s="16" t="s">
        <v>97</v>
      </c>
      <c r="D11" s="18" t="s">
        <v>98</v>
      </c>
      <c r="E11" s="18" t="s">
        <v>99</v>
      </c>
      <c r="F11" s="18" t="s">
        <v>100</v>
      </c>
      <c r="G11" s="17" t="s">
        <v>101</v>
      </c>
      <c r="H11" s="18" t="s">
        <v>102</v>
      </c>
      <c r="I11" s="18" t="s">
        <v>103</v>
      </c>
      <c r="J11" s="16" t="n">
        <v>5</v>
      </c>
      <c r="K11" s="17" t="n">
        <v>3</v>
      </c>
      <c r="L11" s="16" t="n">
        <f aca="false">J11-K11</f>
        <v>2</v>
      </c>
      <c r="M11" s="19" t="n">
        <f aca="false">K11/J11</f>
        <v>0.6</v>
      </c>
      <c r="N11" s="16" t="n">
        <f aca="false">K11</f>
        <v>3</v>
      </c>
      <c r="O11" s="16" t="str">
        <f aca="false">IF(K11=0,"Accept",IF(K11&gt;=3,"Reject batch","Rework"))</f>
        <v>Reject batch</v>
      </c>
      <c r="P11" s="16"/>
      <c r="Q11" s="16"/>
      <c r="R11" s="16"/>
      <c r="S11" s="18" t="s">
        <v>104</v>
      </c>
      <c r="T11" s="16" t="n">
        <v>0</v>
      </c>
      <c r="U11" s="18" t="s">
        <v>105</v>
      </c>
      <c r="V11" s="18" t="s">
        <v>106</v>
      </c>
      <c r="W11" s="18" t="s">
        <v>107</v>
      </c>
      <c r="X11" s="16" t="s">
        <v>108</v>
      </c>
    </row>
    <row r="12" customFormat="false" ht="15" hidden="false" customHeight="true" outlineLevel="0" collapsed="false">
      <c r="A12" s="16" t="n">
        <v>6</v>
      </c>
      <c r="B12" s="17" t="s">
        <v>96</v>
      </c>
      <c r="C12" s="16" t="s">
        <v>97</v>
      </c>
      <c r="D12" s="18" t="s">
        <v>98</v>
      </c>
      <c r="E12" s="18" t="s">
        <v>99</v>
      </c>
      <c r="F12" s="18" t="s">
        <v>100</v>
      </c>
      <c r="G12" s="17" t="s">
        <v>101</v>
      </c>
      <c r="H12" s="18" t="s">
        <v>102</v>
      </c>
      <c r="I12" s="18" t="s">
        <v>103</v>
      </c>
      <c r="J12" s="16" t="n">
        <v>5</v>
      </c>
      <c r="K12" s="17" t="n">
        <v>2</v>
      </c>
      <c r="L12" s="16" t="n">
        <f aca="false">J12-K12</f>
        <v>3</v>
      </c>
      <c r="M12" s="19" t="n">
        <f aca="false">K12/J12</f>
        <v>0.4</v>
      </c>
      <c r="N12" s="16" t="n">
        <f aca="false">K12</f>
        <v>2</v>
      </c>
      <c r="O12" s="16" t="str">
        <f aca="false">IF(K12=0,"Accept",IF(K12&gt;=3,"Reject batch","Rework"))</f>
        <v>Rework</v>
      </c>
      <c r="P12" s="16"/>
      <c r="Q12" s="16"/>
      <c r="R12" s="16"/>
      <c r="S12" s="18" t="s">
        <v>104</v>
      </c>
      <c r="T12" s="16" t="n">
        <v>0</v>
      </c>
      <c r="U12" s="18" t="s">
        <v>105</v>
      </c>
      <c r="V12" s="18" t="s">
        <v>106</v>
      </c>
      <c r="W12" s="18" t="s">
        <v>107</v>
      </c>
      <c r="X12" s="16" t="s">
        <v>108</v>
      </c>
    </row>
    <row r="13" customFormat="false" ht="15" hidden="false" customHeight="true" outlineLevel="0" collapsed="false">
      <c r="A13" s="16" t="n">
        <v>7</v>
      </c>
      <c r="B13" s="17" t="s">
        <v>96</v>
      </c>
      <c r="C13" s="16" t="s">
        <v>97</v>
      </c>
      <c r="D13" s="18" t="s">
        <v>98</v>
      </c>
      <c r="E13" s="18" t="s">
        <v>99</v>
      </c>
      <c r="F13" s="18" t="s">
        <v>100</v>
      </c>
      <c r="G13" s="17" t="s">
        <v>112</v>
      </c>
      <c r="H13" s="18" t="s">
        <v>113</v>
      </c>
      <c r="I13" s="18" t="s">
        <v>103</v>
      </c>
      <c r="J13" s="16" t="n">
        <v>5</v>
      </c>
      <c r="K13" s="17" t="n">
        <v>4</v>
      </c>
      <c r="L13" s="16" t="n">
        <f aca="false">J13-K13</f>
        <v>1</v>
      </c>
      <c r="M13" s="19" t="n">
        <f aca="false">K13/J13</f>
        <v>0.8</v>
      </c>
      <c r="N13" s="16" t="n">
        <f aca="false">K13</f>
        <v>4</v>
      </c>
      <c r="O13" s="16" t="str">
        <f aca="false">IF(K13=0,"Accept",IF(K13&gt;=3,"Reject batch","Rework"))</f>
        <v>Reject batch</v>
      </c>
      <c r="P13" s="16"/>
      <c r="Q13" s="16"/>
      <c r="R13" s="16"/>
      <c r="S13" s="18" t="s">
        <v>104</v>
      </c>
      <c r="T13" s="20" t="n">
        <v>1</v>
      </c>
      <c r="U13" s="20" t="s">
        <v>109</v>
      </c>
      <c r="V13" s="18" t="s">
        <v>114</v>
      </c>
      <c r="W13" s="18" t="s">
        <v>111</v>
      </c>
      <c r="X13" s="16" t="s">
        <v>108</v>
      </c>
    </row>
    <row r="14" customFormat="false" ht="15" hidden="false" customHeight="true" outlineLevel="0" collapsed="false">
      <c r="A14" s="16" t="n">
        <v>8</v>
      </c>
      <c r="B14" s="17" t="s">
        <v>96</v>
      </c>
      <c r="C14" s="16" t="s">
        <v>97</v>
      </c>
      <c r="D14" s="18" t="s">
        <v>98</v>
      </c>
      <c r="E14" s="18" t="s">
        <v>99</v>
      </c>
      <c r="F14" s="18" t="s">
        <v>100</v>
      </c>
      <c r="G14" s="17" t="s">
        <v>112</v>
      </c>
      <c r="H14" s="18" t="s">
        <v>113</v>
      </c>
      <c r="I14" s="18" t="s">
        <v>103</v>
      </c>
      <c r="J14" s="16" t="n">
        <v>5</v>
      </c>
      <c r="K14" s="17" t="n">
        <v>3</v>
      </c>
      <c r="L14" s="16" t="n">
        <f aca="false">J14-K14</f>
        <v>2</v>
      </c>
      <c r="M14" s="19" t="n">
        <f aca="false">K14/J14</f>
        <v>0.6</v>
      </c>
      <c r="N14" s="16" t="n">
        <f aca="false">K14</f>
        <v>3</v>
      </c>
      <c r="O14" s="16" t="str">
        <f aca="false">IF(K14=0,"Accept",IF(K14&gt;=3,"Reject batch","Rework"))</f>
        <v>Reject batch</v>
      </c>
      <c r="P14" s="16"/>
      <c r="Q14" s="16"/>
      <c r="R14" s="16"/>
      <c r="S14" s="18" t="s">
        <v>104</v>
      </c>
      <c r="T14" s="16" t="n">
        <v>0</v>
      </c>
      <c r="U14" s="18" t="s">
        <v>105</v>
      </c>
      <c r="V14" s="18" t="s">
        <v>106</v>
      </c>
      <c r="W14" s="18" t="s">
        <v>107</v>
      </c>
      <c r="X14" s="16" t="s">
        <v>108</v>
      </c>
    </row>
    <row r="15" customFormat="false" ht="15" hidden="false" customHeight="true" outlineLevel="0" collapsed="false">
      <c r="A15" s="16" t="n">
        <v>9</v>
      </c>
      <c r="B15" s="17" t="s">
        <v>96</v>
      </c>
      <c r="C15" s="16" t="s">
        <v>97</v>
      </c>
      <c r="D15" s="18" t="s">
        <v>98</v>
      </c>
      <c r="E15" s="18" t="s">
        <v>99</v>
      </c>
      <c r="F15" s="18" t="s">
        <v>100</v>
      </c>
      <c r="G15" s="17" t="s">
        <v>112</v>
      </c>
      <c r="H15" s="18" t="s">
        <v>113</v>
      </c>
      <c r="I15" s="18" t="s">
        <v>103</v>
      </c>
      <c r="J15" s="16" t="n">
        <v>5</v>
      </c>
      <c r="K15" s="17" t="n">
        <v>3</v>
      </c>
      <c r="L15" s="16" t="n">
        <f aca="false">J15-K15</f>
        <v>2</v>
      </c>
      <c r="M15" s="19" t="n">
        <f aca="false">K15/J15</f>
        <v>0.6</v>
      </c>
      <c r="N15" s="16" t="n">
        <f aca="false">K15</f>
        <v>3</v>
      </c>
      <c r="O15" s="16" t="str">
        <f aca="false">IF(K15=0,"Accept",IF(K15&gt;=3,"Reject batch","Rework"))</f>
        <v>Reject batch</v>
      </c>
      <c r="P15" s="16"/>
      <c r="Q15" s="16"/>
      <c r="R15" s="16"/>
      <c r="S15" s="18" t="s">
        <v>104</v>
      </c>
      <c r="T15" s="16" t="n">
        <v>0</v>
      </c>
      <c r="U15" s="18" t="s">
        <v>105</v>
      </c>
      <c r="V15" s="18" t="s">
        <v>106</v>
      </c>
      <c r="W15" s="18" t="s">
        <v>107</v>
      </c>
      <c r="X15" s="16" t="s">
        <v>108</v>
      </c>
    </row>
    <row r="16" customFormat="false" ht="15" hidden="false" customHeight="true" outlineLevel="0" collapsed="false">
      <c r="A16" s="16" t="n">
        <v>10</v>
      </c>
      <c r="B16" s="17" t="s">
        <v>96</v>
      </c>
      <c r="C16" s="16" t="s">
        <v>97</v>
      </c>
      <c r="D16" s="18" t="s">
        <v>98</v>
      </c>
      <c r="E16" s="18" t="s">
        <v>99</v>
      </c>
      <c r="F16" s="18" t="s">
        <v>100</v>
      </c>
      <c r="G16" s="17" t="s">
        <v>112</v>
      </c>
      <c r="H16" s="18" t="s">
        <v>113</v>
      </c>
      <c r="I16" s="18" t="s">
        <v>103</v>
      </c>
      <c r="J16" s="16" t="n">
        <v>5</v>
      </c>
      <c r="K16" s="17" t="n">
        <v>1</v>
      </c>
      <c r="L16" s="16" t="n">
        <f aca="false">J16-K16</f>
        <v>4</v>
      </c>
      <c r="M16" s="19" t="n">
        <f aca="false">K16/J16</f>
        <v>0.2</v>
      </c>
      <c r="N16" s="16" t="n">
        <f aca="false">K16</f>
        <v>1</v>
      </c>
      <c r="O16" s="16" t="str">
        <f aca="false">IF(K16=0,"Accept",IF(K16&gt;=3,"Reject batch","Rework"))</f>
        <v>Rework</v>
      </c>
      <c r="P16" s="16"/>
      <c r="Q16" s="16"/>
      <c r="R16" s="16"/>
      <c r="S16" s="18" t="s">
        <v>104</v>
      </c>
      <c r="T16" s="16" t="n">
        <v>0</v>
      </c>
      <c r="U16" s="18" t="s">
        <v>105</v>
      </c>
      <c r="V16" s="18" t="s">
        <v>106</v>
      </c>
      <c r="W16" s="18" t="s">
        <v>107</v>
      </c>
      <c r="X16" s="16" t="s">
        <v>108</v>
      </c>
    </row>
    <row r="17" customFormat="false" ht="15" hidden="false" customHeight="true" outlineLevel="0" collapsed="false">
      <c r="A17" s="16" t="n">
        <v>11</v>
      </c>
      <c r="B17" s="17" t="s">
        <v>96</v>
      </c>
      <c r="C17" s="16" t="s">
        <v>97</v>
      </c>
      <c r="D17" s="18" t="s">
        <v>98</v>
      </c>
      <c r="E17" s="18" t="s">
        <v>99</v>
      </c>
      <c r="F17" s="18" t="s">
        <v>100</v>
      </c>
      <c r="G17" s="17" t="s">
        <v>112</v>
      </c>
      <c r="H17" s="18" t="s">
        <v>113</v>
      </c>
      <c r="I17" s="18" t="s">
        <v>103</v>
      </c>
      <c r="J17" s="16" t="n">
        <v>5</v>
      </c>
      <c r="K17" s="17" t="n">
        <v>2</v>
      </c>
      <c r="L17" s="16" t="n">
        <f aca="false">J17-K17</f>
        <v>3</v>
      </c>
      <c r="M17" s="19" t="n">
        <f aca="false">K17/J17</f>
        <v>0.4</v>
      </c>
      <c r="N17" s="16" t="n">
        <f aca="false">K17</f>
        <v>2</v>
      </c>
      <c r="O17" s="16" t="str">
        <f aca="false">IF(K17=0,"Accept",IF(K17&gt;=3,"Reject batch","Rework"))</f>
        <v>Rework</v>
      </c>
      <c r="P17" s="16"/>
      <c r="Q17" s="16"/>
      <c r="R17" s="16"/>
      <c r="S17" s="18" t="s">
        <v>104</v>
      </c>
      <c r="T17" s="16" t="n">
        <v>0</v>
      </c>
      <c r="U17" s="18" t="s">
        <v>105</v>
      </c>
      <c r="V17" s="18" t="s">
        <v>106</v>
      </c>
      <c r="W17" s="18" t="s">
        <v>107</v>
      </c>
      <c r="X17" s="16" t="s">
        <v>108</v>
      </c>
    </row>
    <row r="18" customFormat="false" ht="15" hidden="false" customHeight="true" outlineLevel="0" collapsed="false">
      <c r="A18" s="16" t="n">
        <v>12</v>
      </c>
      <c r="B18" s="17" t="s">
        <v>96</v>
      </c>
      <c r="C18" s="16" t="s">
        <v>97</v>
      </c>
      <c r="D18" s="18" t="s">
        <v>98</v>
      </c>
      <c r="E18" s="18" t="s">
        <v>99</v>
      </c>
      <c r="F18" s="18" t="s">
        <v>100</v>
      </c>
      <c r="G18" s="17" t="s">
        <v>112</v>
      </c>
      <c r="H18" s="18" t="s">
        <v>113</v>
      </c>
      <c r="I18" s="18" t="s">
        <v>103</v>
      </c>
      <c r="J18" s="16" t="n">
        <v>5</v>
      </c>
      <c r="K18" s="17" t="n">
        <v>1</v>
      </c>
      <c r="L18" s="16" t="n">
        <f aca="false">J18-K18</f>
        <v>4</v>
      </c>
      <c r="M18" s="19" t="n">
        <f aca="false">K18/J18</f>
        <v>0.2</v>
      </c>
      <c r="N18" s="16" t="n">
        <f aca="false">K18</f>
        <v>1</v>
      </c>
      <c r="O18" s="16" t="str">
        <f aca="false">IF(K18=0,"Accept",IF(K18&gt;=3,"Reject batch","Rework"))</f>
        <v>Rework</v>
      </c>
      <c r="P18" s="16"/>
      <c r="Q18" s="16"/>
      <c r="R18" s="16"/>
      <c r="S18" s="18" t="s">
        <v>104</v>
      </c>
      <c r="T18" s="16" t="n">
        <v>0</v>
      </c>
      <c r="U18" s="18" t="s">
        <v>105</v>
      </c>
      <c r="V18" s="18" t="s">
        <v>106</v>
      </c>
      <c r="W18" s="18" t="s">
        <v>107</v>
      </c>
      <c r="X18" s="16" t="s">
        <v>108</v>
      </c>
    </row>
    <row r="19" customFormat="false" ht="15" hidden="false" customHeight="true" outlineLevel="0" collapsed="false">
      <c r="A19" s="16" t="n">
        <v>13</v>
      </c>
      <c r="B19" s="17" t="s">
        <v>96</v>
      </c>
      <c r="C19" s="16" t="s">
        <v>97</v>
      </c>
      <c r="D19" s="18" t="s">
        <v>98</v>
      </c>
      <c r="E19" s="18" t="s">
        <v>99</v>
      </c>
      <c r="F19" s="18" t="s">
        <v>100</v>
      </c>
      <c r="G19" s="17" t="s">
        <v>115</v>
      </c>
      <c r="H19" s="18" t="s">
        <v>116</v>
      </c>
      <c r="I19" s="18" t="s">
        <v>103</v>
      </c>
      <c r="J19" s="16" t="n">
        <v>5</v>
      </c>
      <c r="K19" s="17" t="n">
        <v>3</v>
      </c>
      <c r="L19" s="16" t="n">
        <f aca="false">J19-K19</f>
        <v>2</v>
      </c>
      <c r="M19" s="19" t="n">
        <f aca="false">K19/J19</f>
        <v>0.6</v>
      </c>
      <c r="N19" s="16" t="n">
        <f aca="false">K19</f>
        <v>3</v>
      </c>
      <c r="O19" s="16" t="str">
        <f aca="false">IF(K19=0,"Accept",IF(K19&gt;=3,"Reject batch","Rework"))</f>
        <v>Reject batch</v>
      </c>
      <c r="P19" s="16"/>
      <c r="Q19" s="16"/>
      <c r="R19" s="16"/>
      <c r="S19" s="18" t="s">
        <v>104</v>
      </c>
      <c r="T19" s="16" t="n">
        <v>0</v>
      </c>
      <c r="U19" s="18" t="s">
        <v>105</v>
      </c>
      <c r="V19" s="18" t="s">
        <v>106</v>
      </c>
      <c r="W19" s="18" t="s">
        <v>107</v>
      </c>
      <c r="X19" s="16" t="s">
        <v>108</v>
      </c>
    </row>
    <row r="20" customFormat="false" ht="15" hidden="false" customHeight="true" outlineLevel="0" collapsed="false">
      <c r="A20" s="16" t="n">
        <v>14</v>
      </c>
      <c r="B20" s="17" t="s">
        <v>96</v>
      </c>
      <c r="C20" s="16" t="s">
        <v>97</v>
      </c>
      <c r="D20" s="18" t="s">
        <v>98</v>
      </c>
      <c r="E20" s="18" t="s">
        <v>99</v>
      </c>
      <c r="F20" s="18" t="s">
        <v>100</v>
      </c>
      <c r="G20" s="17" t="s">
        <v>115</v>
      </c>
      <c r="H20" s="18" t="s">
        <v>116</v>
      </c>
      <c r="I20" s="18" t="s">
        <v>103</v>
      </c>
      <c r="J20" s="16" t="n">
        <v>5</v>
      </c>
      <c r="K20" s="17" t="n">
        <v>4</v>
      </c>
      <c r="L20" s="16" t="n">
        <f aca="false">J20-K20</f>
        <v>1</v>
      </c>
      <c r="M20" s="19" t="n">
        <f aca="false">K20/J20</f>
        <v>0.8</v>
      </c>
      <c r="N20" s="16" t="n">
        <f aca="false">K20</f>
        <v>4</v>
      </c>
      <c r="O20" s="16" t="str">
        <f aca="false">IF(K20=0,"Accept",IF(K20&gt;=3,"Reject batch","Rework"))</f>
        <v>Reject batch</v>
      </c>
      <c r="P20" s="16"/>
      <c r="Q20" s="16"/>
      <c r="R20" s="16"/>
      <c r="S20" s="18" t="s">
        <v>104</v>
      </c>
      <c r="T20" s="20" t="n">
        <v>1</v>
      </c>
      <c r="U20" s="20" t="s">
        <v>109</v>
      </c>
      <c r="V20" s="18" t="s">
        <v>117</v>
      </c>
      <c r="W20" s="18" t="s">
        <v>111</v>
      </c>
      <c r="X20" s="16" t="s">
        <v>108</v>
      </c>
    </row>
    <row r="21" customFormat="false" ht="15" hidden="false" customHeight="true" outlineLevel="0" collapsed="false">
      <c r="A21" s="16" t="n">
        <v>15</v>
      </c>
      <c r="B21" s="17" t="s">
        <v>96</v>
      </c>
      <c r="C21" s="16" t="s">
        <v>97</v>
      </c>
      <c r="D21" s="18" t="s">
        <v>118</v>
      </c>
      <c r="E21" s="18" t="s">
        <v>99</v>
      </c>
      <c r="F21" s="18" t="s">
        <v>100</v>
      </c>
      <c r="G21" s="17" t="s">
        <v>115</v>
      </c>
      <c r="H21" s="18" t="s">
        <v>116</v>
      </c>
      <c r="I21" s="18" t="s">
        <v>103</v>
      </c>
      <c r="J21" s="16" t="n">
        <v>5</v>
      </c>
      <c r="K21" s="17" t="n">
        <v>4</v>
      </c>
      <c r="L21" s="16" t="n">
        <f aca="false">J21-K21</f>
        <v>1</v>
      </c>
      <c r="M21" s="19" t="n">
        <f aca="false">K21/J21</f>
        <v>0.8</v>
      </c>
      <c r="N21" s="16" t="n">
        <f aca="false">K21</f>
        <v>4</v>
      </c>
      <c r="O21" s="16" t="str">
        <f aca="false">IF(K21=0,"Accept",IF(K21&gt;=3,"Reject batch","Rework"))</f>
        <v>Reject batch</v>
      </c>
      <c r="P21" s="16"/>
      <c r="Q21" s="16"/>
      <c r="R21" s="16"/>
      <c r="S21" s="18" t="s">
        <v>104</v>
      </c>
      <c r="T21" s="20" t="n">
        <v>1</v>
      </c>
      <c r="U21" s="20" t="s">
        <v>109</v>
      </c>
      <c r="V21" s="18" t="s">
        <v>117</v>
      </c>
      <c r="W21" s="18" t="s">
        <v>111</v>
      </c>
      <c r="X21" s="16" t="s">
        <v>108</v>
      </c>
    </row>
    <row r="22" customFormat="false" ht="15" hidden="false" customHeight="true" outlineLevel="0" collapsed="false">
      <c r="A22" s="16" t="n">
        <v>16</v>
      </c>
      <c r="B22" s="17" t="s">
        <v>96</v>
      </c>
      <c r="C22" s="16" t="s">
        <v>97</v>
      </c>
      <c r="D22" s="18" t="s">
        <v>118</v>
      </c>
      <c r="E22" s="18" t="s">
        <v>99</v>
      </c>
      <c r="F22" s="18" t="s">
        <v>100</v>
      </c>
      <c r="G22" s="17" t="s">
        <v>115</v>
      </c>
      <c r="H22" s="18" t="s">
        <v>116</v>
      </c>
      <c r="I22" s="18" t="s">
        <v>103</v>
      </c>
      <c r="J22" s="16" t="n">
        <v>5</v>
      </c>
      <c r="K22" s="17" t="n">
        <v>3</v>
      </c>
      <c r="L22" s="16" t="n">
        <f aca="false">J22-K22</f>
        <v>2</v>
      </c>
      <c r="M22" s="19" t="n">
        <f aca="false">K22/J22</f>
        <v>0.6</v>
      </c>
      <c r="N22" s="16" t="n">
        <f aca="false">K22</f>
        <v>3</v>
      </c>
      <c r="O22" s="16" t="str">
        <f aca="false">IF(K22=0,"Accept",IF(K22&gt;=3,"Reject batch","Rework"))</f>
        <v>Reject batch</v>
      </c>
      <c r="P22" s="16"/>
      <c r="Q22" s="16"/>
      <c r="R22" s="16"/>
      <c r="S22" s="18" t="s">
        <v>104</v>
      </c>
      <c r="T22" s="16" t="n">
        <v>0</v>
      </c>
      <c r="U22" s="18" t="s">
        <v>105</v>
      </c>
      <c r="V22" s="18" t="s">
        <v>106</v>
      </c>
      <c r="W22" s="18" t="s">
        <v>107</v>
      </c>
      <c r="X22" s="16" t="s">
        <v>108</v>
      </c>
    </row>
    <row r="23" customFormat="false" ht="15" hidden="false" customHeight="true" outlineLevel="0" collapsed="false">
      <c r="A23" s="16" t="n">
        <v>17</v>
      </c>
      <c r="B23" s="17" t="s">
        <v>96</v>
      </c>
      <c r="C23" s="16" t="s">
        <v>97</v>
      </c>
      <c r="D23" s="18" t="s">
        <v>118</v>
      </c>
      <c r="E23" s="18" t="s">
        <v>99</v>
      </c>
      <c r="F23" s="18" t="s">
        <v>100</v>
      </c>
      <c r="G23" s="17" t="s">
        <v>115</v>
      </c>
      <c r="H23" s="18" t="s">
        <v>116</v>
      </c>
      <c r="I23" s="18" t="s">
        <v>103</v>
      </c>
      <c r="J23" s="16" t="n">
        <v>5</v>
      </c>
      <c r="K23" s="17" t="n">
        <v>3</v>
      </c>
      <c r="L23" s="16" t="n">
        <f aca="false">J23-K23</f>
        <v>2</v>
      </c>
      <c r="M23" s="19" t="n">
        <f aca="false">K23/J23</f>
        <v>0.6</v>
      </c>
      <c r="N23" s="16" t="n">
        <f aca="false">K23</f>
        <v>3</v>
      </c>
      <c r="O23" s="16" t="str">
        <f aca="false">IF(K23=0,"Accept",IF(K23&gt;=3,"Reject batch","Rework"))</f>
        <v>Reject batch</v>
      </c>
      <c r="P23" s="16"/>
      <c r="Q23" s="16"/>
      <c r="R23" s="16"/>
      <c r="S23" s="18" t="s">
        <v>104</v>
      </c>
      <c r="T23" s="16" t="n">
        <v>0</v>
      </c>
      <c r="U23" s="18" t="s">
        <v>105</v>
      </c>
      <c r="V23" s="18" t="s">
        <v>106</v>
      </c>
      <c r="W23" s="18" t="s">
        <v>107</v>
      </c>
      <c r="X23" s="16" t="s">
        <v>108</v>
      </c>
    </row>
    <row r="24" customFormat="false" ht="15" hidden="false" customHeight="true" outlineLevel="0" collapsed="false">
      <c r="A24" s="16" t="n">
        <v>18</v>
      </c>
      <c r="B24" s="17" t="s">
        <v>96</v>
      </c>
      <c r="C24" s="16" t="s">
        <v>97</v>
      </c>
      <c r="D24" s="18" t="s">
        <v>118</v>
      </c>
      <c r="E24" s="18" t="s">
        <v>99</v>
      </c>
      <c r="F24" s="18" t="s">
        <v>100</v>
      </c>
      <c r="G24" s="17" t="s">
        <v>115</v>
      </c>
      <c r="H24" s="18" t="s">
        <v>116</v>
      </c>
      <c r="I24" s="18" t="s">
        <v>103</v>
      </c>
      <c r="J24" s="16" t="n">
        <v>5</v>
      </c>
      <c r="K24" s="17" t="n">
        <v>3</v>
      </c>
      <c r="L24" s="16" t="n">
        <f aca="false">J24-K24</f>
        <v>2</v>
      </c>
      <c r="M24" s="19" t="n">
        <f aca="false">K24/J24</f>
        <v>0.6</v>
      </c>
      <c r="N24" s="16" t="n">
        <f aca="false">K24</f>
        <v>3</v>
      </c>
      <c r="O24" s="16" t="str">
        <f aca="false">IF(K24=0,"Accept",IF(K24&gt;=3,"Reject batch","Rework"))</f>
        <v>Reject batch</v>
      </c>
      <c r="P24" s="16"/>
      <c r="Q24" s="16"/>
      <c r="R24" s="16"/>
      <c r="S24" s="18" t="s">
        <v>104</v>
      </c>
      <c r="T24" s="16" t="n">
        <v>0</v>
      </c>
      <c r="U24" s="18" t="s">
        <v>105</v>
      </c>
      <c r="V24" s="18" t="s">
        <v>106</v>
      </c>
      <c r="W24" s="18" t="s">
        <v>107</v>
      </c>
      <c r="X24" s="16" t="s">
        <v>108</v>
      </c>
    </row>
    <row r="25" customFormat="false" ht="15" hidden="false" customHeight="true" outlineLevel="0" collapsed="false">
      <c r="A25" s="16" t="n">
        <v>19</v>
      </c>
      <c r="B25" s="17" t="s">
        <v>96</v>
      </c>
      <c r="C25" s="16" t="s">
        <v>97</v>
      </c>
      <c r="D25" s="18" t="s">
        <v>118</v>
      </c>
      <c r="E25" s="18" t="s">
        <v>99</v>
      </c>
      <c r="F25" s="18" t="s">
        <v>100</v>
      </c>
      <c r="G25" s="17" t="s">
        <v>119</v>
      </c>
      <c r="H25" s="18" t="s">
        <v>116</v>
      </c>
      <c r="I25" s="18" t="s">
        <v>120</v>
      </c>
      <c r="J25" s="16" t="n">
        <v>5</v>
      </c>
      <c r="K25" s="17" t="n">
        <v>0</v>
      </c>
      <c r="L25" s="16" t="n">
        <f aca="false">J25-K25</f>
        <v>5</v>
      </c>
      <c r="M25" s="19" t="n">
        <f aca="false">K25/J25</f>
        <v>0</v>
      </c>
      <c r="N25" s="16" t="n">
        <f aca="false">K25</f>
        <v>0</v>
      </c>
      <c r="O25" s="16" t="str">
        <f aca="false">IF(K25=0,"Accept",IF(K25&gt;=3,"Reject batch","Rework"))</f>
        <v>Accept</v>
      </c>
      <c r="P25" s="16"/>
      <c r="Q25" s="16"/>
      <c r="R25" s="16"/>
      <c r="S25" s="18" t="s">
        <v>105</v>
      </c>
      <c r="T25" s="16" t="n">
        <v>0</v>
      </c>
      <c r="U25" s="18" t="s">
        <v>105</v>
      </c>
      <c r="V25" s="18" t="s">
        <v>106</v>
      </c>
      <c r="W25" s="18" t="s">
        <v>107</v>
      </c>
      <c r="X25" s="16" t="s">
        <v>108</v>
      </c>
    </row>
    <row r="26" customFormat="false" ht="15" hidden="false" customHeight="true" outlineLevel="0" collapsed="false">
      <c r="A26" s="16" t="n">
        <v>20</v>
      </c>
      <c r="B26" s="17" t="s">
        <v>96</v>
      </c>
      <c r="C26" s="16" t="s">
        <v>97</v>
      </c>
      <c r="D26" s="18" t="s">
        <v>118</v>
      </c>
      <c r="E26" s="18" t="s">
        <v>99</v>
      </c>
      <c r="F26" s="18" t="s">
        <v>100</v>
      </c>
      <c r="G26" s="17" t="s">
        <v>119</v>
      </c>
      <c r="H26" s="18" t="s">
        <v>116</v>
      </c>
      <c r="I26" s="18" t="s">
        <v>120</v>
      </c>
      <c r="J26" s="16" t="n">
        <v>5</v>
      </c>
      <c r="K26" s="17" t="n">
        <v>0</v>
      </c>
      <c r="L26" s="16" t="n">
        <f aca="false">J26-K26</f>
        <v>5</v>
      </c>
      <c r="M26" s="19" t="n">
        <f aca="false">K26/J26</f>
        <v>0</v>
      </c>
      <c r="N26" s="16" t="n">
        <f aca="false">K26</f>
        <v>0</v>
      </c>
      <c r="O26" s="16" t="str">
        <f aca="false">IF(K26=0,"Accept",IF(K26&gt;=3,"Reject batch","Rework"))</f>
        <v>Accept</v>
      </c>
      <c r="P26" s="16"/>
      <c r="Q26" s="16"/>
      <c r="R26" s="16"/>
      <c r="S26" s="18" t="s">
        <v>105</v>
      </c>
      <c r="T26" s="16" t="n">
        <v>0</v>
      </c>
      <c r="U26" s="18" t="s">
        <v>105</v>
      </c>
      <c r="V26" s="18" t="s">
        <v>106</v>
      </c>
      <c r="W26" s="18" t="s">
        <v>107</v>
      </c>
      <c r="X26" s="16" t="s">
        <v>108</v>
      </c>
    </row>
    <row r="27" customFormat="false" ht="15" hidden="false" customHeight="true" outlineLevel="0" collapsed="false">
      <c r="A27" s="16" t="n">
        <v>21</v>
      </c>
      <c r="B27" s="17" t="s">
        <v>96</v>
      </c>
      <c r="C27" s="16" t="s">
        <v>97</v>
      </c>
      <c r="D27" s="18" t="s">
        <v>118</v>
      </c>
      <c r="E27" s="18" t="s">
        <v>99</v>
      </c>
      <c r="F27" s="18" t="s">
        <v>100</v>
      </c>
      <c r="G27" s="17" t="s">
        <v>119</v>
      </c>
      <c r="H27" s="18" t="s">
        <v>116</v>
      </c>
      <c r="I27" s="18" t="s">
        <v>120</v>
      </c>
      <c r="J27" s="16" t="n">
        <v>5</v>
      </c>
      <c r="K27" s="17" t="n">
        <v>0</v>
      </c>
      <c r="L27" s="16" t="n">
        <f aca="false">J27-K27</f>
        <v>5</v>
      </c>
      <c r="M27" s="19" t="n">
        <f aca="false">K27/J27</f>
        <v>0</v>
      </c>
      <c r="N27" s="16" t="n">
        <f aca="false">K27</f>
        <v>0</v>
      </c>
      <c r="O27" s="16" t="str">
        <f aca="false">IF(K27=0,"Accept",IF(K27&gt;=3,"Reject batch","Rework"))</f>
        <v>Accept</v>
      </c>
      <c r="P27" s="16"/>
      <c r="Q27" s="16"/>
      <c r="R27" s="16"/>
      <c r="S27" s="18" t="s">
        <v>105</v>
      </c>
      <c r="T27" s="16" t="n">
        <v>0</v>
      </c>
      <c r="U27" s="18" t="s">
        <v>105</v>
      </c>
      <c r="V27" s="18" t="s">
        <v>106</v>
      </c>
      <c r="W27" s="18" t="s">
        <v>107</v>
      </c>
      <c r="X27" s="16" t="s">
        <v>108</v>
      </c>
    </row>
    <row r="28" customFormat="false" ht="15" hidden="false" customHeight="true" outlineLevel="0" collapsed="false">
      <c r="A28" s="16" t="n">
        <v>22</v>
      </c>
      <c r="B28" s="17" t="s">
        <v>96</v>
      </c>
      <c r="C28" s="16" t="s">
        <v>97</v>
      </c>
      <c r="D28" s="18" t="s">
        <v>118</v>
      </c>
      <c r="E28" s="18" t="s">
        <v>99</v>
      </c>
      <c r="F28" s="18" t="s">
        <v>100</v>
      </c>
      <c r="G28" s="17" t="s">
        <v>119</v>
      </c>
      <c r="H28" s="18" t="s">
        <v>116</v>
      </c>
      <c r="I28" s="18" t="s">
        <v>120</v>
      </c>
      <c r="J28" s="16" t="n">
        <v>5</v>
      </c>
      <c r="K28" s="17" t="n">
        <v>0</v>
      </c>
      <c r="L28" s="16" t="n">
        <f aca="false">J28-K28</f>
        <v>5</v>
      </c>
      <c r="M28" s="19" t="n">
        <f aca="false">K28/J28</f>
        <v>0</v>
      </c>
      <c r="N28" s="16" t="n">
        <f aca="false">K28</f>
        <v>0</v>
      </c>
      <c r="O28" s="16" t="str">
        <f aca="false">IF(K28=0,"Accept",IF(K28&gt;=3,"Reject batch","Rework"))</f>
        <v>Accept</v>
      </c>
      <c r="P28" s="16"/>
      <c r="Q28" s="16"/>
      <c r="R28" s="16"/>
      <c r="S28" s="18" t="s">
        <v>105</v>
      </c>
      <c r="T28" s="16" t="n">
        <v>0</v>
      </c>
      <c r="U28" s="18" t="s">
        <v>105</v>
      </c>
      <c r="V28" s="18" t="s">
        <v>106</v>
      </c>
      <c r="W28" s="18" t="s">
        <v>107</v>
      </c>
      <c r="X28" s="16" t="s">
        <v>108</v>
      </c>
    </row>
    <row r="29" customFormat="false" ht="15" hidden="false" customHeight="true" outlineLevel="0" collapsed="false">
      <c r="A29" s="16" t="n">
        <v>23</v>
      </c>
      <c r="B29" s="17" t="s">
        <v>96</v>
      </c>
      <c r="C29" s="16" t="s">
        <v>97</v>
      </c>
      <c r="D29" s="18" t="s">
        <v>118</v>
      </c>
      <c r="E29" s="18" t="s">
        <v>99</v>
      </c>
      <c r="F29" s="18" t="s">
        <v>100</v>
      </c>
      <c r="G29" s="17" t="s">
        <v>119</v>
      </c>
      <c r="H29" s="18" t="s">
        <v>116</v>
      </c>
      <c r="I29" s="18" t="s">
        <v>120</v>
      </c>
      <c r="J29" s="16" t="n">
        <v>5</v>
      </c>
      <c r="K29" s="17" t="n">
        <v>0</v>
      </c>
      <c r="L29" s="16" t="n">
        <f aca="false">J29-K29</f>
        <v>5</v>
      </c>
      <c r="M29" s="19" t="n">
        <f aca="false">K29/J29</f>
        <v>0</v>
      </c>
      <c r="N29" s="16" t="n">
        <f aca="false">K29</f>
        <v>0</v>
      </c>
      <c r="O29" s="16" t="str">
        <f aca="false">IF(K29=0,"Accept",IF(K29&gt;=3,"Reject batch","Rework"))</f>
        <v>Accept</v>
      </c>
      <c r="P29" s="16"/>
      <c r="Q29" s="16"/>
      <c r="R29" s="16"/>
      <c r="S29" s="18" t="s">
        <v>105</v>
      </c>
      <c r="T29" s="16" t="n">
        <v>0</v>
      </c>
      <c r="U29" s="18" t="s">
        <v>105</v>
      </c>
      <c r="V29" s="18" t="s">
        <v>106</v>
      </c>
      <c r="W29" s="18" t="s">
        <v>107</v>
      </c>
      <c r="X29" s="16" t="s">
        <v>108</v>
      </c>
    </row>
    <row r="30" customFormat="false" ht="15" hidden="false" customHeight="true" outlineLevel="0" collapsed="false">
      <c r="A30" s="16" t="n">
        <v>24</v>
      </c>
      <c r="B30" s="17" t="s">
        <v>96</v>
      </c>
      <c r="C30" s="16" t="s">
        <v>97</v>
      </c>
      <c r="D30" s="18" t="s">
        <v>118</v>
      </c>
      <c r="E30" s="18" t="s">
        <v>99</v>
      </c>
      <c r="F30" s="18" t="s">
        <v>100</v>
      </c>
      <c r="G30" s="17" t="s">
        <v>119</v>
      </c>
      <c r="H30" s="18" t="s">
        <v>116</v>
      </c>
      <c r="I30" s="18" t="s">
        <v>120</v>
      </c>
      <c r="J30" s="16" t="n">
        <v>5</v>
      </c>
      <c r="K30" s="17" t="n">
        <v>0</v>
      </c>
      <c r="L30" s="16" t="n">
        <f aca="false">J30-K30</f>
        <v>5</v>
      </c>
      <c r="M30" s="19" t="n">
        <f aca="false">K30/J30</f>
        <v>0</v>
      </c>
      <c r="N30" s="16" t="n">
        <f aca="false">K30</f>
        <v>0</v>
      </c>
      <c r="O30" s="16" t="str">
        <f aca="false">IF(K30=0,"Accept",IF(K30&gt;=3,"Reject batch","Rework"))</f>
        <v>Accept</v>
      </c>
      <c r="P30" s="16"/>
      <c r="Q30" s="16"/>
      <c r="R30" s="16"/>
      <c r="S30" s="18" t="s">
        <v>105</v>
      </c>
      <c r="T30" s="16" t="n">
        <v>0</v>
      </c>
      <c r="U30" s="18" t="s">
        <v>105</v>
      </c>
      <c r="V30" s="18" t="s">
        <v>106</v>
      </c>
      <c r="W30" s="18" t="s">
        <v>107</v>
      </c>
      <c r="X30" s="16" t="s">
        <v>108</v>
      </c>
    </row>
    <row r="31" customFormat="false" ht="15" hidden="false" customHeight="true" outlineLevel="0" collapsed="false">
      <c r="A31" s="16" t="n">
        <v>25</v>
      </c>
      <c r="B31" s="17" t="s">
        <v>96</v>
      </c>
      <c r="C31" s="16" t="s">
        <v>97</v>
      </c>
      <c r="D31" s="18" t="s">
        <v>118</v>
      </c>
      <c r="E31" s="18" t="s">
        <v>99</v>
      </c>
      <c r="F31" s="18" t="s">
        <v>100</v>
      </c>
      <c r="G31" s="17" t="s">
        <v>121</v>
      </c>
      <c r="H31" s="18" t="s">
        <v>122</v>
      </c>
      <c r="I31" s="18" t="s">
        <v>123</v>
      </c>
      <c r="J31" s="16" t="n">
        <v>5</v>
      </c>
      <c r="K31" s="17" t="n">
        <v>3</v>
      </c>
      <c r="L31" s="16" t="n">
        <f aca="false">J31-K31</f>
        <v>2</v>
      </c>
      <c r="M31" s="19" t="n">
        <f aca="false">K31/J31</f>
        <v>0.6</v>
      </c>
      <c r="N31" s="16" t="n">
        <f aca="false">K31</f>
        <v>3</v>
      </c>
      <c r="O31" s="16" t="str">
        <f aca="false">IF(K31=0,"Accept",IF(K31&gt;=3,"Reject batch","Rework"))</f>
        <v>Reject batch</v>
      </c>
      <c r="P31" s="16"/>
      <c r="Q31" s="16"/>
      <c r="R31" s="16"/>
      <c r="S31" s="18" t="s">
        <v>104</v>
      </c>
      <c r="T31" s="16" t="n">
        <v>0</v>
      </c>
      <c r="U31" s="18" t="s">
        <v>105</v>
      </c>
      <c r="V31" s="18" t="s">
        <v>106</v>
      </c>
      <c r="W31" s="18" t="s">
        <v>107</v>
      </c>
      <c r="X31" s="16" t="s">
        <v>108</v>
      </c>
    </row>
    <row r="32" customFormat="false" ht="15" hidden="false" customHeight="true" outlineLevel="0" collapsed="false">
      <c r="A32" s="16" t="n">
        <v>26</v>
      </c>
      <c r="B32" s="17" t="s">
        <v>96</v>
      </c>
      <c r="C32" s="16" t="s">
        <v>97</v>
      </c>
      <c r="D32" s="18" t="s">
        <v>118</v>
      </c>
      <c r="E32" s="18" t="s">
        <v>99</v>
      </c>
      <c r="F32" s="18" t="s">
        <v>100</v>
      </c>
      <c r="G32" s="17" t="s">
        <v>121</v>
      </c>
      <c r="H32" s="18" t="s">
        <v>122</v>
      </c>
      <c r="I32" s="18" t="s">
        <v>123</v>
      </c>
      <c r="J32" s="16" t="n">
        <v>5</v>
      </c>
      <c r="K32" s="17" t="n">
        <v>2</v>
      </c>
      <c r="L32" s="16" t="n">
        <f aca="false">J32-K32</f>
        <v>3</v>
      </c>
      <c r="M32" s="19" t="n">
        <f aca="false">K32/J32</f>
        <v>0.4</v>
      </c>
      <c r="N32" s="16" t="n">
        <f aca="false">K32</f>
        <v>2</v>
      </c>
      <c r="O32" s="16" t="str">
        <f aca="false">IF(K32=0,"Accept",IF(K32&gt;=3,"Reject batch","Rework"))</f>
        <v>Rework</v>
      </c>
      <c r="P32" s="16"/>
      <c r="Q32" s="16"/>
      <c r="R32" s="16"/>
      <c r="S32" s="18" t="s">
        <v>104</v>
      </c>
      <c r="T32" s="16" t="n">
        <v>0</v>
      </c>
      <c r="U32" s="18" t="s">
        <v>105</v>
      </c>
      <c r="V32" s="18" t="s">
        <v>106</v>
      </c>
      <c r="W32" s="18" t="s">
        <v>107</v>
      </c>
      <c r="X32" s="16" t="s">
        <v>108</v>
      </c>
    </row>
    <row r="33" customFormat="false" ht="15" hidden="false" customHeight="true" outlineLevel="0" collapsed="false">
      <c r="A33" s="16" t="n">
        <v>27</v>
      </c>
      <c r="B33" s="17" t="s">
        <v>96</v>
      </c>
      <c r="C33" s="16" t="s">
        <v>97</v>
      </c>
      <c r="D33" s="18" t="s">
        <v>118</v>
      </c>
      <c r="E33" s="18" t="s">
        <v>99</v>
      </c>
      <c r="F33" s="18" t="s">
        <v>100</v>
      </c>
      <c r="G33" s="17" t="s">
        <v>121</v>
      </c>
      <c r="H33" s="18" t="s">
        <v>122</v>
      </c>
      <c r="I33" s="18" t="s">
        <v>123</v>
      </c>
      <c r="J33" s="16" t="n">
        <v>5</v>
      </c>
      <c r="K33" s="17" t="n">
        <v>2</v>
      </c>
      <c r="L33" s="16" t="n">
        <f aca="false">J33-K33</f>
        <v>3</v>
      </c>
      <c r="M33" s="19" t="n">
        <f aca="false">K33/J33</f>
        <v>0.4</v>
      </c>
      <c r="N33" s="16" t="n">
        <f aca="false">K33</f>
        <v>2</v>
      </c>
      <c r="O33" s="16" t="str">
        <f aca="false">IF(K33=0,"Accept",IF(K33&gt;=3,"Reject batch","Rework"))</f>
        <v>Rework</v>
      </c>
      <c r="P33" s="16"/>
      <c r="Q33" s="16"/>
      <c r="R33" s="16"/>
      <c r="S33" s="18" t="s">
        <v>104</v>
      </c>
      <c r="T33" s="16" t="n">
        <v>0</v>
      </c>
      <c r="U33" s="18" t="s">
        <v>105</v>
      </c>
      <c r="V33" s="18" t="s">
        <v>106</v>
      </c>
      <c r="W33" s="18" t="s">
        <v>107</v>
      </c>
      <c r="X33" s="16" t="s">
        <v>108</v>
      </c>
    </row>
    <row r="34" customFormat="false" ht="15" hidden="false" customHeight="true" outlineLevel="0" collapsed="false">
      <c r="A34" s="16" t="n">
        <v>28</v>
      </c>
      <c r="B34" s="17" t="s">
        <v>96</v>
      </c>
      <c r="C34" s="16" t="s">
        <v>97</v>
      </c>
      <c r="D34" s="18" t="s">
        <v>118</v>
      </c>
      <c r="E34" s="18" t="s">
        <v>99</v>
      </c>
      <c r="F34" s="18" t="s">
        <v>100</v>
      </c>
      <c r="G34" s="17" t="s">
        <v>121</v>
      </c>
      <c r="H34" s="18" t="s">
        <v>122</v>
      </c>
      <c r="I34" s="18" t="s">
        <v>123</v>
      </c>
      <c r="J34" s="16" t="n">
        <v>5</v>
      </c>
      <c r="K34" s="17" t="n">
        <v>3</v>
      </c>
      <c r="L34" s="16" t="n">
        <f aca="false">J34-K34</f>
        <v>2</v>
      </c>
      <c r="M34" s="19" t="n">
        <f aca="false">K34/J34</f>
        <v>0.6</v>
      </c>
      <c r="N34" s="16" t="n">
        <f aca="false">K34</f>
        <v>3</v>
      </c>
      <c r="O34" s="16" t="str">
        <f aca="false">IF(K34=0,"Accept",IF(K34&gt;=3,"Reject batch","Rework"))</f>
        <v>Reject batch</v>
      </c>
      <c r="P34" s="16"/>
      <c r="Q34" s="16"/>
      <c r="R34" s="16"/>
      <c r="S34" s="18" t="s">
        <v>104</v>
      </c>
      <c r="T34" s="16" t="n">
        <v>0</v>
      </c>
      <c r="U34" s="18" t="s">
        <v>105</v>
      </c>
      <c r="V34" s="18" t="s">
        <v>106</v>
      </c>
      <c r="W34" s="18" t="s">
        <v>107</v>
      </c>
      <c r="X34" s="16" t="s">
        <v>108</v>
      </c>
    </row>
    <row r="35" customFormat="false" ht="15" hidden="false" customHeight="true" outlineLevel="0" collapsed="false">
      <c r="A35" s="16" t="n">
        <v>29</v>
      </c>
      <c r="B35" s="17" t="s">
        <v>96</v>
      </c>
      <c r="C35" s="16" t="s">
        <v>97</v>
      </c>
      <c r="D35" s="18" t="s">
        <v>124</v>
      </c>
      <c r="E35" s="18" t="s">
        <v>99</v>
      </c>
      <c r="F35" s="18" t="s">
        <v>100</v>
      </c>
      <c r="G35" s="17" t="s">
        <v>121</v>
      </c>
      <c r="H35" s="18" t="s">
        <v>122</v>
      </c>
      <c r="I35" s="18" t="s">
        <v>123</v>
      </c>
      <c r="J35" s="16" t="n">
        <v>5</v>
      </c>
      <c r="K35" s="17" t="n">
        <v>3</v>
      </c>
      <c r="L35" s="16" t="n">
        <f aca="false">J35-K35</f>
        <v>2</v>
      </c>
      <c r="M35" s="19" t="n">
        <f aca="false">K35/J35</f>
        <v>0.6</v>
      </c>
      <c r="N35" s="16" t="n">
        <f aca="false">K35</f>
        <v>3</v>
      </c>
      <c r="O35" s="16" t="str">
        <f aca="false">IF(K35=0,"Accept",IF(K35&gt;=3,"Reject batch","Rework"))</f>
        <v>Reject batch</v>
      </c>
      <c r="P35" s="16"/>
      <c r="Q35" s="16"/>
      <c r="R35" s="16"/>
      <c r="S35" s="18" t="s">
        <v>104</v>
      </c>
      <c r="T35" s="16" t="n">
        <v>0</v>
      </c>
      <c r="U35" s="18" t="s">
        <v>105</v>
      </c>
      <c r="V35" s="18" t="s">
        <v>106</v>
      </c>
      <c r="W35" s="18" t="s">
        <v>107</v>
      </c>
      <c r="X35" s="16" t="s">
        <v>108</v>
      </c>
    </row>
    <row r="36" customFormat="false" ht="15" hidden="false" customHeight="true" outlineLevel="0" collapsed="false">
      <c r="A36" s="16" t="n">
        <v>30</v>
      </c>
      <c r="B36" s="17" t="s">
        <v>96</v>
      </c>
      <c r="C36" s="16" t="s">
        <v>97</v>
      </c>
      <c r="D36" s="18" t="s">
        <v>124</v>
      </c>
      <c r="E36" s="18" t="s">
        <v>99</v>
      </c>
      <c r="F36" s="18" t="s">
        <v>100</v>
      </c>
      <c r="G36" s="17" t="s">
        <v>121</v>
      </c>
      <c r="H36" s="18" t="s">
        <v>122</v>
      </c>
      <c r="I36" s="18" t="s">
        <v>123</v>
      </c>
      <c r="J36" s="16" t="n">
        <v>5</v>
      </c>
      <c r="K36" s="17" t="n">
        <v>2</v>
      </c>
      <c r="L36" s="16" t="n">
        <f aca="false">J36-K36</f>
        <v>3</v>
      </c>
      <c r="M36" s="19" t="n">
        <f aca="false">K36/J36</f>
        <v>0.4</v>
      </c>
      <c r="N36" s="16" t="n">
        <f aca="false">K36</f>
        <v>2</v>
      </c>
      <c r="O36" s="16" t="str">
        <f aca="false">IF(K36=0,"Accept",IF(K36&gt;=3,"Reject batch","Rework"))</f>
        <v>Rework</v>
      </c>
      <c r="P36" s="16"/>
      <c r="Q36" s="16"/>
      <c r="R36" s="16"/>
      <c r="S36" s="18" t="s">
        <v>104</v>
      </c>
      <c r="T36" s="16" t="n">
        <v>0</v>
      </c>
      <c r="U36" s="18" t="s">
        <v>105</v>
      </c>
      <c r="V36" s="18" t="s">
        <v>106</v>
      </c>
      <c r="W36" s="18" t="s">
        <v>107</v>
      </c>
      <c r="X36" s="16" t="s">
        <v>108</v>
      </c>
    </row>
    <row r="37" customFormat="false" ht="15" hidden="false" customHeight="true" outlineLevel="0" collapsed="false">
      <c r="A37" s="16" t="n">
        <v>31</v>
      </c>
      <c r="B37" s="17" t="s">
        <v>96</v>
      </c>
      <c r="C37" s="16" t="s">
        <v>97</v>
      </c>
      <c r="D37" s="18" t="s">
        <v>124</v>
      </c>
      <c r="E37" s="18" t="s">
        <v>99</v>
      </c>
      <c r="F37" s="18" t="s">
        <v>100</v>
      </c>
      <c r="G37" s="17" t="s">
        <v>125</v>
      </c>
      <c r="H37" s="18" t="s">
        <v>113</v>
      </c>
      <c r="I37" s="18" t="s">
        <v>120</v>
      </c>
      <c r="J37" s="16" t="n">
        <v>5</v>
      </c>
      <c r="K37" s="17" t="n">
        <v>0</v>
      </c>
      <c r="L37" s="16" t="n">
        <f aca="false">J37-K37</f>
        <v>5</v>
      </c>
      <c r="M37" s="19" t="n">
        <f aca="false">K37/J37</f>
        <v>0</v>
      </c>
      <c r="N37" s="16" t="n">
        <f aca="false">K37</f>
        <v>0</v>
      </c>
      <c r="O37" s="16" t="str">
        <f aca="false">IF(K37=0,"Accept",IF(K37&gt;=3,"Reject batch","Rework"))</f>
        <v>Accept</v>
      </c>
      <c r="P37" s="16"/>
      <c r="Q37" s="16"/>
      <c r="R37" s="16"/>
      <c r="S37" s="18" t="s">
        <v>105</v>
      </c>
      <c r="T37" s="16" t="n">
        <v>0</v>
      </c>
      <c r="U37" s="18" t="s">
        <v>105</v>
      </c>
      <c r="V37" s="18" t="s">
        <v>106</v>
      </c>
      <c r="W37" s="18" t="s">
        <v>107</v>
      </c>
      <c r="X37" s="16" t="s">
        <v>108</v>
      </c>
    </row>
    <row r="38" customFormat="false" ht="15" hidden="false" customHeight="true" outlineLevel="0" collapsed="false">
      <c r="A38" s="16" t="n">
        <v>32</v>
      </c>
      <c r="B38" s="17" t="s">
        <v>96</v>
      </c>
      <c r="C38" s="16" t="s">
        <v>97</v>
      </c>
      <c r="D38" s="18" t="s">
        <v>124</v>
      </c>
      <c r="E38" s="18" t="s">
        <v>99</v>
      </c>
      <c r="F38" s="18" t="s">
        <v>100</v>
      </c>
      <c r="G38" s="17" t="s">
        <v>125</v>
      </c>
      <c r="H38" s="18" t="s">
        <v>113</v>
      </c>
      <c r="I38" s="18" t="s">
        <v>120</v>
      </c>
      <c r="J38" s="16" t="n">
        <v>5</v>
      </c>
      <c r="K38" s="17" t="n">
        <v>0</v>
      </c>
      <c r="L38" s="16" t="n">
        <f aca="false">J38-K38</f>
        <v>5</v>
      </c>
      <c r="M38" s="19" t="n">
        <f aca="false">K38/J38</f>
        <v>0</v>
      </c>
      <c r="N38" s="16" t="n">
        <f aca="false">K38</f>
        <v>0</v>
      </c>
      <c r="O38" s="16" t="str">
        <f aca="false">IF(K38=0,"Accept",IF(K38&gt;=3,"Reject batch","Rework"))</f>
        <v>Accept</v>
      </c>
      <c r="P38" s="16"/>
      <c r="Q38" s="16"/>
      <c r="R38" s="16"/>
      <c r="S38" s="18" t="s">
        <v>105</v>
      </c>
      <c r="T38" s="16" t="n">
        <v>0</v>
      </c>
      <c r="U38" s="18" t="s">
        <v>105</v>
      </c>
      <c r="V38" s="18" t="s">
        <v>106</v>
      </c>
      <c r="W38" s="18" t="s">
        <v>107</v>
      </c>
      <c r="X38" s="16" t="s">
        <v>108</v>
      </c>
    </row>
    <row r="39" customFormat="false" ht="15" hidden="false" customHeight="true" outlineLevel="0" collapsed="false">
      <c r="A39" s="16" t="n">
        <v>33</v>
      </c>
      <c r="B39" s="17" t="s">
        <v>96</v>
      </c>
      <c r="C39" s="16" t="s">
        <v>97</v>
      </c>
      <c r="D39" s="18" t="s">
        <v>124</v>
      </c>
      <c r="E39" s="18" t="s">
        <v>99</v>
      </c>
      <c r="F39" s="18" t="s">
        <v>100</v>
      </c>
      <c r="G39" s="17" t="s">
        <v>125</v>
      </c>
      <c r="H39" s="18" t="s">
        <v>113</v>
      </c>
      <c r="I39" s="18" t="s">
        <v>120</v>
      </c>
      <c r="J39" s="16" t="n">
        <v>5</v>
      </c>
      <c r="K39" s="17" t="n">
        <v>0</v>
      </c>
      <c r="L39" s="16" t="n">
        <f aca="false">J39-K39</f>
        <v>5</v>
      </c>
      <c r="M39" s="19" t="n">
        <f aca="false">K39/J39</f>
        <v>0</v>
      </c>
      <c r="N39" s="16" t="n">
        <f aca="false">K39</f>
        <v>0</v>
      </c>
      <c r="O39" s="16" t="str">
        <f aca="false">IF(K39=0,"Accept",IF(K39&gt;=3,"Reject batch","Rework"))</f>
        <v>Accept</v>
      </c>
      <c r="P39" s="16"/>
      <c r="Q39" s="16"/>
      <c r="R39" s="16"/>
      <c r="S39" s="18" t="s">
        <v>105</v>
      </c>
      <c r="T39" s="16" t="n">
        <v>0</v>
      </c>
      <c r="U39" s="18" t="s">
        <v>105</v>
      </c>
      <c r="V39" s="18" t="s">
        <v>106</v>
      </c>
      <c r="W39" s="18" t="s">
        <v>107</v>
      </c>
      <c r="X39" s="16" t="s">
        <v>108</v>
      </c>
    </row>
    <row r="40" customFormat="false" ht="15" hidden="false" customHeight="true" outlineLevel="0" collapsed="false">
      <c r="A40" s="16" t="n">
        <v>34</v>
      </c>
      <c r="B40" s="17" t="s">
        <v>96</v>
      </c>
      <c r="C40" s="16" t="s">
        <v>97</v>
      </c>
      <c r="D40" s="18" t="s">
        <v>124</v>
      </c>
      <c r="E40" s="18" t="s">
        <v>99</v>
      </c>
      <c r="F40" s="18" t="s">
        <v>100</v>
      </c>
      <c r="G40" s="17" t="s">
        <v>125</v>
      </c>
      <c r="H40" s="18" t="s">
        <v>113</v>
      </c>
      <c r="I40" s="18" t="s">
        <v>120</v>
      </c>
      <c r="J40" s="16" t="n">
        <v>5</v>
      </c>
      <c r="K40" s="17" t="n">
        <v>0</v>
      </c>
      <c r="L40" s="16" t="n">
        <f aca="false">J40-K40</f>
        <v>5</v>
      </c>
      <c r="M40" s="19" t="n">
        <f aca="false">K40/J40</f>
        <v>0</v>
      </c>
      <c r="N40" s="16" t="n">
        <f aca="false">K40</f>
        <v>0</v>
      </c>
      <c r="O40" s="16" t="str">
        <f aca="false">IF(K40=0,"Accept",IF(K40&gt;=3,"Reject batch","Rework"))</f>
        <v>Accept</v>
      </c>
      <c r="P40" s="16"/>
      <c r="Q40" s="16"/>
      <c r="R40" s="16"/>
      <c r="S40" s="18" t="s">
        <v>105</v>
      </c>
      <c r="T40" s="16" t="n">
        <v>0</v>
      </c>
      <c r="U40" s="18" t="s">
        <v>105</v>
      </c>
      <c r="V40" s="18" t="s">
        <v>106</v>
      </c>
      <c r="W40" s="18" t="s">
        <v>107</v>
      </c>
      <c r="X40" s="16" t="s">
        <v>108</v>
      </c>
    </row>
    <row r="41" customFormat="false" ht="15" hidden="false" customHeight="true" outlineLevel="0" collapsed="false">
      <c r="A41" s="16" t="n">
        <v>35</v>
      </c>
      <c r="B41" s="17" t="s">
        <v>96</v>
      </c>
      <c r="C41" s="16" t="s">
        <v>97</v>
      </c>
      <c r="D41" s="18" t="s">
        <v>124</v>
      </c>
      <c r="E41" s="18" t="s">
        <v>99</v>
      </c>
      <c r="F41" s="18" t="s">
        <v>100</v>
      </c>
      <c r="G41" s="17" t="s">
        <v>125</v>
      </c>
      <c r="H41" s="18" t="s">
        <v>113</v>
      </c>
      <c r="I41" s="18" t="s">
        <v>120</v>
      </c>
      <c r="J41" s="16" t="n">
        <v>5</v>
      </c>
      <c r="K41" s="17" t="n">
        <v>0</v>
      </c>
      <c r="L41" s="16" t="n">
        <f aca="false">J41-K41</f>
        <v>5</v>
      </c>
      <c r="M41" s="19" t="n">
        <f aca="false">K41/J41</f>
        <v>0</v>
      </c>
      <c r="N41" s="16" t="n">
        <f aca="false">K41</f>
        <v>0</v>
      </c>
      <c r="O41" s="16" t="str">
        <f aca="false">IF(K41=0,"Accept",IF(K41&gt;=3,"Reject batch","Rework"))</f>
        <v>Accept</v>
      </c>
      <c r="P41" s="16"/>
      <c r="Q41" s="16"/>
      <c r="R41" s="16"/>
      <c r="S41" s="18" t="s">
        <v>105</v>
      </c>
      <c r="T41" s="16" t="n">
        <v>0</v>
      </c>
      <c r="U41" s="18" t="s">
        <v>105</v>
      </c>
      <c r="V41" s="18" t="s">
        <v>106</v>
      </c>
      <c r="W41" s="18" t="s">
        <v>107</v>
      </c>
      <c r="X41" s="16" t="s">
        <v>108</v>
      </c>
    </row>
    <row r="42" customFormat="false" ht="15" hidden="false" customHeight="true" outlineLevel="0" collapsed="false">
      <c r="A42" s="16" t="n">
        <v>36</v>
      </c>
      <c r="B42" s="17" t="s">
        <v>96</v>
      </c>
      <c r="C42" s="16" t="s">
        <v>97</v>
      </c>
      <c r="D42" s="18" t="s">
        <v>124</v>
      </c>
      <c r="E42" s="18" t="s">
        <v>99</v>
      </c>
      <c r="F42" s="18" t="s">
        <v>100</v>
      </c>
      <c r="G42" s="17" t="s">
        <v>125</v>
      </c>
      <c r="H42" s="18" t="s">
        <v>113</v>
      </c>
      <c r="I42" s="18" t="s">
        <v>120</v>
      </c>
      <c r="J42" s="16" t="n">
        <v>5</v>
      </c>
      <c r="K42" s="17" t="n">
        <v>0</v>
      </c>
      <c r="L42" s="16" t="n">
        <f aca="false">J42-K42</f>
        <v>5</v>
      </c>
      <c r="M42" s="19" t="n">
        <f aca="false">K42/J42</f>
        <v>0</v>
      </c>
      <c r="N42" s="16" t="n">
        <f aca="false">K42</f>
        <v>0</v>
      </c>
      <c r="O42" s="16" t="str">
        <f aca="false">IF(K42=0,"Accept",IF(K42&gt;=3,"Reject batch","Rework"))</f>
        <v>Accept</v>
      </c>
      <c r="P42" s="16"/>
      <c r="Q42" s="16"/>
      <c r="R42" s="16"/>
      <c r="S42" s="18" t="s">
        <v>105</v>
      </c>
      <c r="T42" s="16" t="n">
        <v>0</v>
      </c>
      <c r="U42" s="18" t="s">
        <v>105</v>
      </c>
      <c r="V42" s="18" t="s">
        <v>106</v>
      </c>
      <c r="W42" s="18" t="s">
        <v>107</v>
      </c>
      <c r="X42" s="16" t="s">
        <v>108</v>
      </c>
    </row>
    <row r="43" customFormat="false" ht="15" hidden="false" customHeight="true" outlineLevel="0" collapsed="false">
      <c r="A43" s="16" t="n">
        <v>37</v>
      </c>
      <c r="B43" s="17" t="s">
        <v>96</v>
      </c>
      <c r="C43" s="16" t="s">
        <v>97</v>
      </c>
      <c r="D43" s="18" t="s">
        <v>124</v>
      </c>
      <c r="E43" s="18" t="s">
        <v>99</v>
      </c>
      <c r="F43" s="18" t="s">
        <v>100</v>
      </c>
      <c r="G43" s="17" t="s">
        <v>126</v>
      </c>
      <c r="H43" s="18" t="s">
        <v>127</v>
      </c>
      <c r="I43" s="18" t="s">
        <v>123</v>
      </c>
      <c r="J43" s="16" t="n">
        <v>5</v>
      </c>
      <c r="K43" s="17" t="n">
        <v>0</v>
      </c>
      <c r="L43" s="16" t="n">
        <f aca="false">J43-K43</f>
        <v>5</v>
      </c>
      <c r="M43" s="19" t="n">
        <f aca="false">K43/J43</f>
        <v>0</v>
      </c>
      <c r="N43" s="16" t="n">
        <f aca="false">K43</f>
        <v>0</v>
      </c>
      <c r="O43" s="16" t="str">
        <f aca="false">IF(K43=0,"Accept",IF(K43&gt;=3,"Reject batch","Rework"))</f>
        <v>Accept</v>
      </c>
      <c r="P43" s="16"/>
      <c r="Q43" s="16"/>
      <c r="R43" s="16"/>
      <c r="S43" s="18" t="s">
        <v>105</v>
      </c>
      <c r="T43" s="16" t="n">
        <v>0</v>
      </c>
      <c r="U43" s="18" t="s">
        <v>105</v>
      </c>
      <c r="V43" s="18" t="s">
        <v>106</v>
      </c>
      <c r="W43" s="18" t="s">
        <v>107</v>
      </c>
      <c r="X43" s="16" t="s">
        <v>108</v>
      </c>
    </row>
    <row r="44" customFormat="false" ht="15" hidden="false" customHeight="true" outlineLevel="0" collapsed="false">
      <c r="A44" s="16" t="n">
        <v>38</v>
      </c>
      <c r="B44" s="17" t="s">
        <v>96</v>
      </c>
      <c r="C44" s="16" t="s">
        <v>97</v>
      </c>
      <c r="D44" s="18" t="s">
        <v>124</v>
      </c>
      <c r="E44" s="18" t="s">
        <v>99</v>
      </c>
      <c r="F44" s="18" t="s">
        <v>100</v>
      </c>
      <c r="G44" s="17" t="s">
        <v>126</v>
      </c>
      <c r="H44" s="18" t="s">
        <v>127</v>
      </c>
      <c r="I44" s="18" t="s">
        <v>123</v>
      </c>
      <c r="J44" s="16" t="n">
        <v>5</v>
      </c>
      <c r="K44" s="17" t="n">
        <v>2</v>
      </c>
      <c r="L44" s="16" t="n">
        <f aca="false">J44-K44</f>
        <v>3</v>
      </c>
      <c r="M44" s="19" t="n">
        <f aca="false">K44/J44</f>
        <v>0.4</v>
      </c>
      <c r="N44" s="16" t="n">
        <f aca="false">K44</f>
        <v>2</v>
      </c>
      <c r="O44" s="16" t="str">
        <f aca="false">IF(K44=0,"Accept",IF(K44&gt;=3,"Reject batch","Rework"))</f>
        <v>Rework</v>
      </c>
      <c r="P44" s="16"/>
      <c r="Q44" s="16"/>
      <c r="R44" s="16"/>
      <c r="S44" s="18" t="s">
        <v>104</v>
      </c>
      <c r="T44" s="16" t="n">
        <v>0</v>
      </c>
      <c r="U44" s="18" t="s">
        <v>105</v>
      </c>
      <c r="V44" s="18" t="s">
        <v>106</v>
      </c>
      <c r="W44" s="18" t="s">
        <v>107</v>
      </c>
      <c r="X44" s="16" t="s">
        <v>108</v>
      </c>
    </row>
    <row r="45" customFormat="false" ht="15" hidden="false" customHeight="true" outlineLevel="0" collapsed="false">
      <c r="A45" s="16" t="n">
        <v>39</v>
      </c>
      <c r="B45" s="17" t="s">
        <v>96</v>
      </c>
      <c r="C45" s="16" t="s">
        <v>97</v>
      </c>
      <c r="D45" s="18" t="s">
        <v>124</v>
      </c>
      <c r="E45" s="18" t="s">
        <v>99</v>
      </c>
      <c r="F45" s="18" t="s">
        <v>100</v>
      </c>
      <c r="G45" s="17" t="s">
        <v>126</v>
      </c>
      <c r="H45" s="18" t="s">
        <v>127</v>
      </c>
      <c r="I45" s="18" t="s">
        <v>123</v>
      </c>
      <c r="J45" s="16" t="n">
        <v>5</v>
      </c>
      <c r="K45" s="17" t="n">
        <v>4</v>
      </c>
      <c r="L45" s="16" t="n">
        <f aca="false">J45-K45</f>
        <v>1</v>
      </c>
      <c r="M45" s="19" t="n">
        <f aca="false">K45/J45</f>
        <v>0.8</v>
      </c>
      <c r="N45" s="16" t="n">
        <f aca="false">K45</f>
        <v>4</v>
      </c>
      <c r="O45" s="16" t="str">
        <f aca="false">IF(K45=0,"Accept",IF(K45&gt;=3,"Reject batch","Rework"))</f>
        <v>Reject batch</v>
      </c>
      <c r="P45" s="16"/>
      <c r="Q45" s="16"/>
      <c r="R45" s="16"/>
      <c r="S45" s="18" t="s">
        <v>104</v>
      </c>
      <c r="T45" s="16" t="n">
        <v>0</v>
      </c>
      <c r="U45" s="18" t="s">
        <v>105</v>
      </c>
      <c r="V45" s="18" t="s">
        <v>106</v>
      </c>
      <c r="W45" s="18" t="s">
        <v>107</v>
      </c>
      <c r="X45" s="16" t="s">
        <v>108</v>
      </c>
    </row>
    <row r="46" customFormat="false" ht="15" hidden="false" customHeight="true" outlineLevel="0" collapsed="false">
      <c r="A46" s="16" t="n">
        <v>40</v>
      </c>
      <c r="B46" s="17" t="s">
        <v>96</v>
      </c>
      <c r="C46" s="16" t="s">
        <v>97</v>
      </c>
      <c r="D46" s="18" t="s">
        <v>124</v>
      </c>
      <c r="E46" s="18" t="s">
        <v>99</v>
      </c>
      <c r="F46" s="18" t="s">
        <v>100</v>
      </c>
      <c r="G46" s="17" t="s">
        <v>126</v>
      </c>
      <c r="H46" s="18" t="s">
        <v>127</v>
      </c>
      <c r="I46" s="18" t="s">
        <v>123</v>
      </c>
      <c r="J46" s="16" t="n">
        <v>5</v>
      </c>
      <c r="K46" s="17" t="n">
        <v>1</v>
      </c>
      <c r="L46" s="16" t="n">
        <f aca="false">J46-K46</f>
        <v>4</v>
      </c>
      <c r="M46" s="19" t="n">
        <f aca="false">K46/J46</f>
        <v>0.2</v>
      </c>
      <c r="N46" s="16" t="n">
        <f aca="false">K46</f>
        <v>1</v>
      </c>
      <c r="O46" s="16" t="str">
        <f aca="false">IF(K46=0,"Accept",IF(K46&gt;=3,"Reject batch","Rework"))</f>
        <v>Rework</v>
      </c>
      <c r="P46" s="16"/>
      <c r="Q46" s="16"/>
      <c r="R46" s="16"/>
      <c r="S46" s="18" t="s">
        <v>104</v>
      </c>
      <c r="T46" s="16" t="n">
        <v>0</v>
      </c>
      <c r="U46" s="18" t="s">
        <v>105</v>
      </c>
      <c r="V46" s="18" t="s">
        <v>106</v>
      </c>
      <c r="W46" s="18" t="s">
        <v>107</v>
      </c>
      <c r="X46" s="16" t="s">
        <v>108</v>
      </c>
    </row>
    <row r="47" customFormat="false" ht="15" hidden="false" customHeight="true" outlineLevel="0" collapsed="false">
      <c r="A47" s="16" t="n">
        <v>41</v>
      </c>
      <c r="B47" s="17" t="s">
        <v>96</v>
      </c>
      <c r="C47" s="16" t="s">
        <v>97</v>
      </c>
      <c r="D47" s="18" t="s">
        <v>124</v>
      </c>
      <c r="E47" s="18" t="s">
        <v>99</v>
      </c>
      <c r="F47" s="18" t="s">
        <v>100</v>
      </c>
      <c r="G47" s="17" t="s">
        <v>126</v>
      </c>
      <c r="H47" s="18" t="s">
        <v>127</v>
      </c>
      <c r="I47" s="18" t="s">
        <v>123</v>
      </c>
      <c r="J47" s="16" t="n">
        <v>5</v>
      </c>
      <c r="K47" s="17" t="n">
        <v>3</v>
      </c>
      <c r="L47" s="16" t="n">
        <f aca="false">J47-K47</f>
        <v>2</v>
      </c>
      <c r="M47" s="19" t="n">
        <f aca="false">K47/J47</f>
        <v>0.6</v>
      </c>
      <c r="N47" s="16" t="n">
        <f aca="false">K47</f>
        <v>3</v>
      </c>
      <c r="O47" s="16" t="str">
        <f aca="false">IF(K47=0,"Accept",IF(K47&gt;=3,"Reject batch","Rework"))</f>
        <v>Reject batch</v>
      </c>
      <c r="P47" s="16"/>
      <c r="Q47" s="16"/>
      <c r="R47" s="16"/>
      <c r="S47" s="18" t="s">
        <v>104</v>
      </c>
      <c r="T47" s="16" t="n">
        <v>0</v>
      </c>
      <c r="U47" s="18" t="s">
        <v>105</v>
      </c>
      <c r="V47" s="18" t="s">
        <v>106</v>
      </c>
      <c r="W47" s="18" t="s">
        <v>107</v>
      </c>
      <c r="X47" s="16" t="s">
        <v>108</v>
      </c>
    </row>
    <row r="48" customFormat="false" ht="15" hidden="false" customHeight="true" outlineLevel="0" collapsed="false">
      <c r="A48" s="16" t="n">
        <v>42</v>
      </c>
      <c r="B48" s="17" t="s">
        <v>96</v>
      </c>
      <c r="C48" s="16" t="s">
        <v>97</v>
      </c>
      <c r="D48" s="18" t="s">
        <v>124</v>
      </c>
      <c r="E48" s="18" t="s">
        <v>99</v>
      </c>
      <c r="F48" s="18" t="s">
        <v>100</v>
      </c>
      <c r="G48" s="17" t="s">
        <v>126</v>
      </c>
      <c r="H48" s="18" t="s">
        <v>127</v>
      </c>
      <c r="I48" s="18" t="s">
        <v>123</v>
      </c>
      <c r="J48" s="16" t="n">
        <v>5</v>
      </c>
      <c r="K48" s="17" t="n">
        <v>3</v>
      </c>
      <c r="L48" s="16" t="n">
        <f aca="false">J48-K48</f>
        <v>2</v>
      </c>
      <c r="M48" s="19" t="n">
        <f aca="false">K48/J48</f>
        <v>0.6</v>
      </c>
      <c r="N48" s="16" t="n">
        <f aca="false">K48</f>
        <v>3</v>
      </c>
      <c r="O48" s="16" t="str">
        <f aca="false">IF(K48=0,"Accept",IF(K48&gt;=3,"Reject batch","Rework"))</f>
        <v>Reject batch</v>
      </c>
      <c r="P48" s="16"/>
      <c r="Q48" s="16"/>
      <c r="R48" s="16"/>
      <c r="S48" s="18" t="s">
        <v>104</v>
      </c>
      <c r="T48" s="16" t="n">
        <v>0</v>
      </c>
      <c r="U48" s="18" t="s">
        <v>105</v>
      </c>
      <c r="V48" s="18" t="s">
        <v>106</v>
      </c>
      <c r="W48" s="18" t="s">
        <v>107</v>
      </c>
      <c r="X48" s="16" t="s">
        <v>108</v>
      </c>
    </row>
    <row r="49" customFormat="false" ht="15" hidden="false" customHeight="true" outlineLevel="0" collapsed="false">
      <c r="A49" s="21" t="s">
        <v>128</v>
      </c>
      <c r="J49" s="21" t="n">
        <f aca="false">SUM(J7:J48)</f>
        <v>210</v>
      </c>
      <c r="K49" s="21" t="n">
        <f aca="false">SUM(K7:K48)</f>
        <v>76</v>
      </c>
      <c r="L49" s="21" t="n">
        <f aca="false">SUM(L7:L48)</f>
        <v>134</v>
      </c>
    </row>
    <row r="51" customFormat="false" ht="15" hidden="false" customHeight="true" outlineLevel="0" collapsed="false">
      <c r="A51" s="22" t="s">
        <v>129</v>
      </c>
      <c r="B51" s="23" t="s">
        <v>96</v>
      </c>
      <c r="C51" s="24" t="s">
        <v>130</v>
      </c>
      <c r="E51" s="25" t="s">
        <v>131</v>
      </c>
    </row>
  </sheetData>
  <autoFilter ref="A6:X48"/>
  <mergeCells count="1">
    <mergeCell ref="A2:X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1" width="9"/>
    <col collapsed="false" customWidth="true" hidden="false" outlineLevel="0" max="6" min="6" style="1" width="13"/>
    <col collapsed="false" customWidth="true" hidden="false" outlineLevel="0" max="7" min="7" style="1" width="3"/>
    <col collapsed="false" customWidth="true" hidden="false" outlineLevel="0" max="8" min="8" style="1" width="18"/>
    <col collapsed="false" customWidth="true" hidden="false" outlineLevel="0" max="9" min="9" style="1" width="12"/>
    <col collapsed="false" customWidth="true" hidden="false" outlineLevel="0" max="11" min="11" style="1" width="12"/>
    <col collapsed="false" customWidth="true" hidden="false" outlineLevel="0" max="12" min="12" style="1" width="24"/>
    <col collapsed="false" customWidth="true" hidden="false" outlineLevel="0" max="15" min="13" style="1" width="10"/>
  </cols>
  <sheetData>
    <row r="1" customFormat="false" ht="17.25" hidden="false" customHeight="true" outlineLevel="0" collapsed="false">
      <c r="A1" s="2" t="s">
        <v>132</v>
      </c>
      <c r="H1" s="6" t="s">
        <v>133</v>
      </c>
      <c r="K1" s="6" t="s">
        <v>134</v>
      </c>
    </row>
    <row r="2" customFormat="false" ht="15" hidden="false" customHeight="true" outlineLevel="0" collapsed="false">
      <c r="H2" s="26" t="s">
        <v>135</v>
      </c>
      <c r="I2" s="27" t="n">
        <f aca="false">SUM(P1_Data!K7:K48)</f>
        <v>76</v>
      </c>
      <c r="K2" s="26" t="s">
        <v>136</v>
      </c>
      <c r="L2" s="28" t="n">
        <f aca="false">$I$4*$I$5</f>
        <v>1.80952380952381</v>
      </c>
    </row>
    <row r="3" customFormat="false" ht="23.25" hidden="false" customHeight="true" outlineLevel="0" collapsed="false">
      <c r="A3" s="29" t="s">
        <v>137</v>
      </c>
      <c r="B3" s="29" t="s">
        <v>84</v>
      </c>
      <c r="C3" s="29" t="s">
        <v>138</v>
      </c>
      <c r="D3" s="29" t="s">
        <v>139</v>
      </c>
      <c r="E3" s="29" t="s">
        <v>140</v>
      </c>
      <c r="F3" s="29" t="s">
        <v>141</v>
      </c>
      <c r="G3" s="30"/>
      <c r="H3" s="26" t="s">
        <v>142</v>
      </c>
      <c r="I3" s="27" t="n">
        <f aca="false">SUM(P1_Data!J7:J48)</f>
        <v>210</v>
      </c>
      <c r="K3" s="26" t="s">
        <v>143</v>
      </c>
      <c r="L3" s="28" t="n">
        <f aca="false">$L$2+3*SQRT($I$4*$I$5*(1-$I$5))</f>
        <v>5.03316099982514</v>
      </c>
    </row>
    <row r="4" customFormat="false" ht="15" hidden="false" customHeight="true" outlineLevel="0" collapsed="false">
      <c r="A4" s="31" t="n">
        <f aca="false">P1_Data!A7</f>
        <v>1</v>
      </c>
      <c r="B4" s="28" t="n">
        <f aca="false">P1_Data!M7</f>
        <v>0.6</v>
      </c>
      <c r="C4" s="28" t="n">
        <f aca="false">$I$5</f>
        <v>0.361904761904762</v>
      </c>
      <c r="D4" s="28" t="n">
        <f aca="false">$I$7</f>
        <v>1</v>
      </c>
      <c r="E4" s="28" t="n">
        <f aca="false">$I$8</f>
        <v>0</v>
      </c>
      <c r="F4" s="28" t="e">
        <f aca="false">IF(OR(B4&gt;$I$7,B4&lt;$I$8),B4,NA())</f>
        <v>#N/A</v>
      </c>
      <c r="G4" s="4" t="n">
        <f aca="false">IF(AND(B4&lt;=$I$7,B4&gt;=$I$8),1,0)</f>
        <v>1</v>
      </c>
      <c r="H4" s="26" t="s">
        <v>81</v>
      </c>
      <c r="I4" s="31" t="n">
        <v>5</v>
      </c>
      <c r="K4" s="26" t="s">
        <v>144</v>
      </c>
      <c r="L4" s="28" t="n">
        <f aca="false">MAX(0,$L$2-3*SQRT($I$4*$I$5*(1-$I$5)))</f>
        <v>0</v>
      </c>
    </row>
    <row r="5" customFormat="false" ht="15" hidden="false" customHeight="true" outlineLevel="0" collapsed="false">
      <c r="A5" s="31" t="n">
        <f aca="false">P1_Data!A8</f>
        <v>2</v>
      </c>
      <c r="B5" s="28" t="n">
        <f aca="false">P1_Data!M8</f>
        <v>0</v>
      </c>
      <c r="C5" s="28" t="n">
        <f aca="false">$I$5</f>
        <v>0.361904761904762</v>
      </c>
      <c r="D5" s="28" t="n">
        <f aca="false">$I$7</f>
        <v>1</v>
      </c>
      <c r="E5" s="28" t="n">
        <f aca="false">$I$8</f>
        <v>0</v>
      </c>
      <c r="F5" s="28" t="e">
        <f aca="false">IF(OR(B5&gt;$I$7,B5&lt;$I$8),B5,NA())</f>
        <v>#N/A</v>
      </c>
      <c r="G5" s="4" t="n">
        <f aca="false">IF(AND(B5&lt;=$I$7,B5&gt;=$I$8),1,0)</f>
        <v>1</v>
      </c>
      <c r="H5" s="26" t="s">
        <v>145</v>
      </c>
      <c r="I5" s="32" t="n">
        <f aca="false">I2/I3</f>
        <v>0.361904761904762</v>
      </c>
      <c r="K5" s="26" t="s">
        <v>146</v>
      </c>
      <c r="L5" s="28" t="n">
        <f aca="false">$L$2+2*SQRT($I$4*$I$5*(1-$I$5))</f>
        <v>3.9586152697247</v>
      </c>
    </row>
    <row r="6" customFormat="false" ht="15" hidden="false" customHeight="true" outlineLevel="0" collapsed="false">
      <c r="A6" s="31" t="n">
        <f aca="false">P1_Data!A9</f>
        <v>3</v>
      </c>
      <c r="B6" s="28" t="n">
        <f aca="false">P1_Data!M9</f>
        <v>0.8</v>
      </c>
      <c r="C6" s="28" t="n">
        <f aca="false">$I$5</f>
        <v>0.361904761904762</v>
      </c>
      <c r="D6" s="28" t="n">
        <f aca="false">$I$7</f>
        <v>1</v>
      </c>
      <c r="E6" s="28" t="n">
        <f aca="false">$I$8</f>
        <v>0</v>
      </c>
      <c r="F6" s="28" t="e">
        <f aca="false">IF(OR(B6&gt;$I$7,B6&lt;$I$8),B6,NA())</f>
        <v>#N/A</v>
      </c>
      <c r="G6" s="4" t="n">
        <f aca="false">IF(AND(B6&lt;=$I$7,B6&gt;=$I$8),1,0)</f>
        <v>1</v>
      </c>
      <c r="H6" s="26" t="s">
        <v>147</v>
      </c>
      <c r="I6" s="27" t="n">
        <f aca="false">SQRT(I5*(1-I5)/I4)</f>
        <v>0.214909146020089</v>
      </c>
      <c r="K6" s="26" t="s">
        <v>148</v>
      </c>
      <c r="L6" s="28" t="n">
        <f aca="false">MAX(0,$L$2-2*SQRT($I$4*$I$5*(1-$I$5)))</f>
        <v>0</v>
      </c>
    </row>
    <row r="7" customFormat="false" ht="15" hidden="false" customHeight="true" outlineLevel="0" collapsed="false">
      <c r="A7" s="31" t="n">
        <f aca="false">P1_Data!A10</f>
        <v>4</v>
      </c>
      <c r="B7" s="28" t="n">
        <f aca="false">P1_Data!M10</f>
        <v>0.4</v>
      </c>
      <c r="C7" s="28" t="n">
        <f aca="false">$I$5</f>
        <v>0.361904761904762</v>
      </c>
      <c r="D7" s="28" t="n">
        <f aca="false">$I$7</f>
        <v>1</v>
      </c>
      <c r="E7" s="28" t="n">
        <f aca="false">$I$8</f>
        <v>0</v>
      </c>
      <c r="F7" s="28" t="e">
        <f aca="false">IF(OR(B7&gt;$I$7,B7&lt;$I$8),B7,NA())</f>
        <v>#N/A</v>
      </c>
      <c r="G7" s="4" t="n">
        <f aca="false">IF(AND(B7&lt;=$I$7,B7&gt;=$I$8),1,0)</f>
        <v>1</v>
      </c>
      <c r="H7" s="26" t="s">
        <v>143</v>
      </c>
      <c r="I7" s="27" t="n">
        <f aca="false">MIN(1,I5+3*I6)</f>
        <v>1</v>
      </c>
    </row>
    <row r="8" customFormat="false" ht="15" hidden="false" customHeight="true" outlineLevel="0" collapsed="false">
      <c r="A8" s="31" t="n">
        <f aca="false">P1_Data!A11</f>
        <v>5</v>
      </c>
      <c r="B8" s="28" t="n">
        <f aca="false">P1_Data!M11</f>
        <v>0.6</v>
      </c>
      <c r="C8" s="28" t="n">
        <f aca="false">$I$5</f>
        <v>0.361904761904762</v>
      </c>
      <c r="D8" s="28" t="n">
        <f aca="false">$I$7</f>
        <v>1</v>
      </c>
      <c r="E8" s="28" t="n">
        <f aca="false">$I$8</f>
        <v>0</v>
      </c>
      <c r="F8" s="28" t="e">
        <f aca="false">IF(OR(B8&gt;$I$7,B8&lt;$I$8),B8,NA())</f>
        <v>#N/A</v>
      </c>
      <c r="G8" s="4" t="n">
        <f aca="false">IF(AND(B8&lt;=$I$7,B8&gt;=$I$8),1,0)</f>
        <v>1</v>
      </c>
      <c r="H8" s="26" t="s">
        <v>144</v>
      </c>
      <c r="I8" s="27" t="n">
        <f aca="false">MAX(0,I5-3*I6)</f>
        <v>0</v>
      </c>
      <c r="K8" s="29" t="s">
        <v>137</v>
      </c>
      <c r="L8" s="29" t="s">
        <v>85</v>
      </c>
      <c r="M8" s="29" t="s">
        <v>149</v>
      </c>
      <c r="N8" s="29" t="s">
        <v>150</v>
      </c>
      <c r="O8" s="29" t="s">
        <v>151</v>
      </c>
    </row>
    <row r="9" customFormat="false" ht="15" hidden="false" customHeight="true" outlineLevel="0" collapsed="false">
      <c r="A9" s="31" t="n">
        <f aca="false">P1_Data!A12</f>
        <v>6</v>
      </c>
      <c r="B9" s="28" t="n">
        <f aca="false">P1_Data!M12</f>
        <v>0.4</v>
      </c>
      <c r="C9" s="28" t="n">
        <f aca="false">$I$5</f>
        <v>0.361904761904762</v>
      </c>
      <c r="D9" s="28" t="n">
        <f aca="false">$I$7</f>
        <v>1</v>
      </c>
      <c r="E9" s="28" t="n">
        <f aca="false">$I$8</f>
        <v>0</v>
      </c>
      <c r="F9" s="28" t="e">
        <f aca="false">IF(OR(B9&gt;$I$7,B9&lt;$I$8),B9,NA())</f>
        <v>#N/A</v>
      </c>
      <c r="G9" s="4" t="n">
        <f aca="false">IF(AND(B9&lt;=$I$7,B9&gt;=$I$8),1,0)</f>
        <v>1</v>
      </c>
      <c r="H9" s="26" t="s">
        <v>146</v>
      </c>
      <c r="I9" s="27" t="n">
        <f aca="false">MIN(1,I5+2*I6)</f>
        <v>0.79172305394494</v>
      </c>
      <c r="K9" s="31" t="n">
        <f aca="false">P1_Data!A7</f>
        <v>1</v>
      </c>
      <c r="L9" s="31" t="n">
        <f aca="false">P1_Data!N7</f>
        <v>3</v>
      </c>
      <c r="M9" s="33" t="n">
        <f aca="false">$L$2</f>
        <v>1.80952380952381</v>
      </c>
      <c r="N9" s="33" t="n">
        <f aca="false">$L$3</f>
        <v>5.03316099982514</v>
      </c>
      <c r="O9" s="33" t="n">
        <f aca="false">$L$4</f>
        <v>0</v>
      </c>
    </row>
    <row r="10" customFormat="false" ht="15" hidden="false" customHeight="true" outlineLevel="0" collapsed="false">
      <c r="A10" s="31" t="n">
        <f aca="false">P1_Data!A13</f>
        <v>7</v>
      </c>
      <c r="B10" s="28" t="n">
        <f aca="false">P1_Data!M13</f>
        <v>0.8</v>
      </c>
      <c r="C10" s="28" t="n">
        <f aca="false">$I$5</f>
        <v>0.361904761904762</v>
      </c>
      <c r="D10" s="28" t="n">
        <f aca="false">$I$7</f>
        <v>1</v>
      </c>
      <c r="E10" s="28" t="n">
        <f aca="false">$I$8</f>
        <v>0</v>
      </c>
      <c r="F10" s="28" t="e">
        <f aca="false">IF(OR(B10&gt;$I$7,B10&lt;$I$8),B10,NA())</f>
        <v>#N/A</v>
      </c>
      <c r="G10" s="4" t="n">
        <f aca="false">IF(AND(B10&lt;=$I$7,B10&gt;=$I$8),1,0)</f>
        <v>1</v>
      </c>
      <c r="H10" s="26" t="s">
        <v>148</v>
      </c>
      <c r="I10" s="27" t="n">
        <f aca="false">MAX(0,I5-2*I6)</f>
        <v>0</v>
      </c>
      <c r="K10" s="31" t="n">
        <f aca="false">P1_Data!A8</f>
        <v>2</v>
      </c>
      <c r="L10" s="31" t="n">
        <f aca="false">P1_Data!N8</f>
        <v>0</v>
      </c>
      <c r="M10" s="33" t="n">
        <f aca="false">$L$2</f>
        <v>1.80952380952381</v>
      </c>
      <c r="N10" s="33" t="n">
        <f aca="false">$L$3</f>
        <v>5.03316099982514</v>
      </c>
      <c r="O10" s="33" t="n">
        <f aca="false">$L$4</f>
        <v>0</v>
      </c>
    </row>
    <row r="11" customFormat="false" ht="15" hidden="false" customHeight="true" outlineLevel="0" collapsed="false">
      <c r="A11" s="31" t="n">
        <f aca="false">P1_Data!A14</f>
        <v>8</v>
      </c>
      <c r="B11" s="28" t="n">
        <f aca="false">P1_Data!M14</f>
        <v>0.6</v>
      </c>
      <c r="C11" s="28" t="n">
        <f aca="false">$I$5</f>
        <v>0.361904761904762</v>
      </c>
      <c r="D11" s="28" t="n">
        <f aca="false">$I$7</f>
        <v>1</v>
      </c>
      <c r="E11" s="28" t="n">
        <f aca="false">$I$8</f>
        <v>0</v>
      </c>
      <c r="F11" s="28" t="e">
        <f aca="false">IF(OR(B11&gt;$I$7,B11&lt;$I$8),B11,NA())</f>
        <v>#N/A</v>
      </c>
      <c r="G11" s="4" t="n">
        <f aca="false">IF(AND(B11&lt;=$I$7,B11&gt;=$I$8),1,0)</f>
        <v>1</v>
      </c>
      <c r="H11" s="26" t="s">
        <v>152</v>
      </c>
      <c r="I11" s="27" t="n">
        <f aca="false">MIN(1,I5+I6)</f>
        <v>0.576813907924851</v>
      </c>
      <c r="K11" s="31" t="n">
        <f aca="false">P1_Data!A9</f>
        <v>3</v>
      </c>
      <c r="L11" s="31" t="n">
        <f aca="false">P1_Data!N9</f>
        <v>4</v>
      </c>
      <c r="M11" s="33" t="n">
        <f aca="false">$L$2</f>
        <v>1.80952380952381</v>
      </c>
      <c r="N11" s="33" t="n">
        <f aca="false">$L$3</f>
        <v>5.03316099982514</v>
      </c>
      <c r="O11" s="33" t="n">
        <f aca="false">$L$4</f>
        <v>0</v>
      </c>
    </row>
    <row r="12" customFormat="false" ht="15" hidden="false" customHeight="true" outlineLevel="0" collapsed="false">
      <c r="A12" s="31" t="n">
        <f aca="false">P1_Data!A15</f>
        <v>9</v>
      </c>
      <c r="B12" s="28" t="n">
        <f aca="false">P1_Data!M15</f>
        <v>0.6</v>
      </c>
      <c r="C12" s="28" t="n">
        <f aca="false">$I$5</f>
        <v>0.361904761904762</v>
      </c>
      <c r="D12" s="28" t="n">
        <f aca="false">$I$7</f>
        <v>1</v>
      </c>
      <c r="E12" s="28" t="n">
        <f aca="false">$I$8</f>
        <v>0</v>
      </c>
      <c r="F12" s="28" t="e">
        <f aca="false">IF(OR(B12&gt;$I$7,B12&lt;$I$8),B12,NA())</f>
        <v>#N/A</v>
      </c>
      <c r="G12" s="4" t="n">
        <f aca="false">IF(AND(B12&lt;=$I$7,B12&gt;=$I$8),1,0)</f>
        <v>1</v>
      </c>
      <c r="H12" s="26" t="s">
        <v>153</v>
      </c>
      <c r="I12" s="27" t="n">
        <f aca="false">MAX(0,I5-I6)</f>
        <v>0.146995615884673</v>
      </c>
      <c r="K12" s="31" t="n">
        <f aca="false">P1_Data!A10</f>
        <v>4</v>
      </c>
      <c r="L12" s="31" t="n">
        <f aca="false">P1_Data!N10</f>
        <v>2</v>
      </c>
      <c r="M12" s="33" t="n">
        <f aca="false">$L$2</f>
        <v>1.80952380952381</v>
      </c>
      <c r="N12" s="33" t="n">
        <f aca="false">$L$3</f>
        <v>5.03316099982514</v>
      </c>
      <c r="O12" s="33" t="n">
        <f aca="false">$L$4</f>
        <v>0</v>
      </c>
    </row>
    <row r="13" customFormat="false" ht="15" hidden="false" customHeight="true" outlineLevel="0" collapsed="false">
      <c r="A13" s="31" t="n">
        <f aca="false">P1_Data!A16</f>
        <v>10</v>
      </c>
      <c r="B13" s="28" t="n">
        <f aca="false">P1_Data!M16</f>
        <v>0.2</v>
      </c>
      <c r="C13" s="28" t="n">
        <f aca="false">$I$5</f>
        <v>0.361904761904762</v>
      </c>
      <c r="D13" s="28" t="n">
        <f aca="false">$I$7</f>
        <v>1</v>
      </c>
      <c r="E13" s="28" t="n">
        <f aca="false">$I$8</f>
        <v>0</v>
      </c>
      <c r="F13" s="28" t="e">
        <f aca="false">IF(OR(B13&gt;$I$7,B13&lt;$I$8),B13,NA())</f>
        <v>#N/A</v>
      </c>
      <c r="G13" s="4" t="n">
        <f aca="false">IF(AND(B13&lt;=$I$7,B13&gt;=$I$8),1,0)</f>
        <v>1</v>
      </c>
      <c r="K13" s="31" t="n">
        <f aca="false">P1_Data!A11</f>
        <v>5</v>
      </c>
      <c r="L13" s="31" t="n">
        <f aca="false">P1_Data!N11</f>
        <v>3</v>
      </c>
      <c r="M13" s="33" t="n">
        <f aca="false">$L$2</f>
        <v>1.80952380952381</v>
      </c>
      <c r="N13" s="33" t="n">
        <f aca="false">$L$3</f>
        <v>5.03316099982514</v>
      </c>
      <c r="O13" s="33" t="n">
        <f aca="false">$L$4</f>
        <v>0</v>
      </c>
    </row>
    <row r="14" customFormat="false" ht="15" hidden="false" customHeight="true" outlineLevel="0" collapsed="false">
      <c r="A14" s="31" t="n">
        <f aca="false">P1_Data!A17</f>
        <v>11</v>
      </c>
      <c r="B14" s="28" t="n">
        <f aca="false">P1_Data!M17</f>
        <v>0.4</v>
      </c>
      <c r="C14" s="28" t="n">
        <f aca="false">$I$5</f>
        <v>0.361904761904762</v>
      </c>
      <c r="D14" s="28" t="n">
        <f aca="false">$I$7</f>
        <v>1</v>
      </c>
      <c r="E14" s="28" t="n">
        <f aca="false">$I$8</f>
        <v>0</v>
      </c>
      <c r="F14" s="28" t="e">
        <f aca="false">IF(OR(B14&gt;$I$7,B14&lt;$I$8),B14,NA())</f>
        <v>#N/A</v>
      </c>
      <c r="G14" s="4" t="n">
        <f aca="false">IF(AND(B14&lt;=$I$7,B14&gt;=$I$8),1,0)</f>
        <v>1</v>
      </c>
      <c r="H14" s="6" t="s">
        <v>154</v>
      </c>
      <c r="K14" s="31" t="n">
        <f aca="false">P1_Data!A12</f>
        <v>6</v>
      </c>
      <c r="L14" s="31" t="n">
        <f aca="false">P1_Data!N12</f>
        <v>2</v>
      </c>
      <c r="M14" s="33" t="n">
        <f aca="false">$L$2</f>
        <v>1.80952380952381</v>
      </c>
      <c r="N14" s="33" t="n">
        <f aca="false">$L$3</f>
        <v>5.03316099982514</v>
      </c>
      <c r="O14" s="33" t="n">
        <f aca="false">$L$4</f>
        <v>0</v>
      </c>
    </row>
    <row r="15" customFormat="false" ht="15" hidden="false" customHeight="true" outlineLevel="0" collapsed="false">
      <c r="A15" s="31" t="n">
        <f aca="false">P1_Data!A18</f>
        <v>12</v>
      </c>
      <c r="B15" s="28" t="n">
        <f aca="false">P1_Data!M18</f>
        <v>0.2</v>
      </c>
      <c r="C15" s="28" t="n">
        <f aca="false">$I$5</f>
        <v>0.361904761904762</v>
      </c>
      <c r="D15" s="28" t="n">
        <f aca="false">$I$7</f>
        <v>1</v>
      </c>
      <c r="E15" s="28" t="n">
        <f aca="false">$I$8</f>
        <v>0</v>
      </c>
      <c r="F15" s="28" t="e">
        <f aca="false">IF(OR(B15&gt;$I$7,B15&lt;$I$8),B15,NA())</f>
        <v>#N/A</v>
      </c>
      <c r="G15" s="4" t="n">
        <f aca="false">IF(AND(B15&lt;=$I$7,B15&gt;=$I$8),1,0)</f>
        <v>1</v>
      </c>
      <c r="H15" s="5" t="s">
        <v>155</v>
      </c>
      <c r="K15" s="31" t="n">
        <f aca="false">P1_Data!A13</f>
        <v>7</v>
      </c>
      <c r="L15" s="31" t="n">
        <f aca="false">P1_Data!N13</f>
        <v>4</v>
      </c>
      <c r="M15" s="33" t="n">
        <f aca="false">$L$2</f>
        <v>1.80952380952381</v>
      </c>
      <c r="N15" s="33" t="n">
        <f aca="false">$L$3</f>
        <v>5.03316099982514</v>
      </c>
      <c r="O15" s="33" t="n">
        <f aca="false">$L$4</f>
        <v>0</v>
      </c>
    </row>
    <row r="16" customFormat="false" ht="15" hidden="false" customHeight="true" outlineLevel="0" collapsed="false">
      <c r="A16" s="31" t="n">
        <f aca="false">P1_Data!A19</f>
        <v>13</v>
      </c>
      <c r="B16" s="28" t="n">
        <f aca="false">P1_Data!M19</f>
        <v>0.6</v>
      </c>
      <c r="C16" s="28" t="n">
        <f aca="false">$I$5</f>
        <v>0.361904761904762</v>
      </c>
      <c r="D16" s="28" t="n">
        <f aca="false">$I$7</f>
        <v>1</v>
      </c>
      <c r="E16" s="28" t="n">
        <f aca="false">$I$8</f>
        <v>0</v>
      </c>
      <c r="F16" s="28" t="e">
        <f aca="false">IF(OR(B16&gt;$I$7,B16&lt;$I$8),B16,NA())</f>
        <v>#N/A</v>
      </c>
      <c r="G16" s="4" t="n">
        <f aca="false">IF(AND(B16&lt;=$I$7,B16&gt;=$I$8),1,0)</f>
        <v>1</v>
      </c>
      <c r="H16" s="26"/>
      <c r="I16" s="27"/>
      <c r="K16" s="31" t="n">
        <f aca="false">P1_Data!A14</f>
        <v>8</v>
      </c>
      <c r="L16" s="31" t="n">
        <f aca="false">P1_Data!N14</f>
        <v>3</v>
      </c>
      <c r="M16" s="33" t="n">
        <f aca="false">$L$2</f>
        <v>1.80952380952381</v>
      </c>
      <c r="N16" s="33" t="n">
        <f aca="false">$L$3</f>
        <v>5.03316099982514</v>
      </c>
      <c r="O16" s="33" t="n">
        <f aca="false">$L$4</f>
        <v>0</v>
      </c>
    </row>
    <row r="17" customFormat="false" ht="15" hidden="false" customHeight="true" outlineLevel="0" collapsed="false">
      <c r="A17" s="31" t="n">
        <f aca="false">P1_Data!A20</f>
        <v>14</v>
      </c>
      <c r="B17" s="28" t="n">
        <f aca="false">P1_Data!M20</f>
        <v>0.8</v>
      </c>
      <c r="C17" s="28" t="n">
        <f aca="false">$I$5</f>
        <v>0.361904761904762</v>
      </c>
      <c r="D17" s="28" t="n">
        <f aca="false">$I$7</f>
        <v>1</v>
      </c>
      <c r="E17" s="28" t="n">
        <f aca="false">$I$8</f>
        <v>0</v>
      </c>
      <c r="F17" s="28" t="e">
        <f aca="false">IF(OR(B17&gt;$I$7,B17&lt;$I$8),B17,NA())</f>
        <v>#N/A</v>
      </c>
      <c r="G17" s="4" t="n">
        <f aca="false">IF(AND(B17&lt;=$I$7,B17&gt;=$I$8),1,0)</f>
        <v>1</v>
      </c>
      <c r="H17" s="26" t="s">
        <v>156</v>
      </c>
      <c r="I17" s="27" t="n">
        <f aca="false">SUMPRODUCT(P1_Data!K7:K48,G4:G45)</f>
        <v>76</v>
      </c>
      <c r="K17" s="31" t="n">
        <f aca="false">P1_Data!A15</f>
        <v>9</v>
      </c>
      <c r="L17" s="31" t="n">
        <f aca="false">P1_Data!N15</f>
        <v>3</v>
      </c>
      <c r="M17" s="33" t="n">
        <f aca="false">$L$2</f>
        <v>1.80952380952381</v>
      </c>
      <c r="N17" s="33" t="n">
        <f aca="false">$L$3</f>
        <v>5.03316099982514</v>
      </c>
      <c r="O17" s="33" t="n">
        <f aca="false">$L$4</f>
        <v>0</v>
      </c>
    </row>
    <row r="18" customFormat="false" ht="15" hidden="false" customHeight="true" outlineLevel="0" collapsed="false">
      <c r="A18" s="31" t="n">
        <f aca="false">P1_Data!A21</f>
        <v>15</v>
      </c>
      <c r="B18" s="28" t="n">
        <f aca="false">P1_Data!M21</f>
        <v>0.8</v>
      </c>
      <c r="C18" s="28" t="n">
        <f aca="false">$I$5</f>
        <v>0.361904761904762</v>
      </c>
      <c r="D18" s="28" t="n">
        <f aca="false">$I$7</f>
        <v>1</v>
      </c>
      <c r="E18" s="28" t="n">
        <f aca="false">$I$8</f>
        <v>0</v>
      </c>
      <c r="F18" s="28" t="e">
        <f aca="false">IF(OR(B18&gt;$I$7,B18&lt;$I$8),B18,NA())</f>
        <v>#N/A</v>
      </c>
      <c r="G18" s="4" t="n">
        <f aca="false">IF(AND(B18&lt;=$I$7,B18&gt;=$I$8),1,0)</f>
        <v>1</v>
      </c>
      <c r="H18" s="26" t="s">
        <v>157</v>
      </c>
      <c r="I18" s="34" t="n">
        <f aca="false">SUMPRODUCT(P1_Data!J7:J48,G4:G45)</f>
        <v>210</v>
      </c>
      <c r="K18" s="31" t="n">
        <f aca="false">P1_Data!A16</f>
        <v>10</v>
      </c>
      <c r="L18" s="31" t="n">
        <f aca="false">P1_Data!N16</f>
        <v>1</v>
      </c>
      <c r="M18" s="33" t="n">
        <f aca="false">$L$2</f>
        <v>1.80952380952381</v>
      </c>
      <c r="N18" s="33" t="n">
        <f aca="false">$L$3</f>
        <v>5.03316099982514</v>
      </c>
      <c r="O18" s="33" t="n">
        <f aca="false">$L$4</f>
        <v>0</v>
      </c>
    </row>
    <row r="19" customFormat="false" ht="15" hidden="false" customHeight="true" outlineLevel="0" collapsed="false">
      <c r="A19" s="31" t="n">
        <f aca="false">P1_Data!A22</f>
        <v>16</v>
      </c>
      <c r="B19" s="28" t="n">
        <f aca="false">P1_Data!M22</f>
        <v>0.6</v>
      </c>
      <c r="C19" s="28" t="n">
        <f aca="false">$I$5</f>
        <v>0.361904761904762</v>
      </c>
      <c r="D19" s="28" t="n">
        <f aca="false">$I$7</f>
        <v>1</v>
      </c>
      <c r="E19" s="28" t="n">
        <f aca="false">$I$8</f>
        <v>0</v>
      </c>
      <c r="F19" s="28" t="e">
        <f aca="false">IF(OR(B19&gt;$I$7,B19&lt;$I$8),B19,NA())</f>
        <v>#N/A</v>
      </c>
      <c r="G19" s="4" t="n">
        <f aca="false">IF(AND(B19&lt;=$I$7,B19&gt;=$I$8),1,0)</f>
        <v>1</v>
      </c>
      <c r="H19" s="26" t="s">
        <v>158</v>
      </c>
      <c r="I19" s="27" t="n">
        <f aca="false">I17/I18</f>
        <v>0.361904761904762</v>
      </c>
      <c r="K19" s="31" t="n">
        <f aca="false">P1_Data!A17</f>
        <v>11</v>
      </c>
      <c r="L19" s="31" t="n">
        <f aca="false">P1_Data!N17</f>
        <v>2</v>
      </c>
      <c r="M19" s="33" t="n">
        <f aca="false">$L$2</f>
        <v>1.80952380952381</v>
      </c>
      <c r="N19" s="33" t="n">
        <f aca="false">$L$3</f>
        <v>5.03316099982514</v>
      </c>
      <c r="O19" s="33" t="n">
        <f aca="false">$L$4</f>
        <v>0</v>
      </c>
    </row>
    <row r="20" customFormat="false" ht="15" hidden="false" customHeight="true" outlineLevel="0" collapsed="false">
      <c r="A20" s="31" t="n">
        <f aca="false">P1_Data!A23</f>
        <v>17</v>
      </c>
      <c r="B20" s="28" t="n">
        <f aca="false">P1_Data!M23</f>
        <v>0.6</v>
      </c>
      <c r="C20" s="28" t="n">
        <f aca="false">$I$5</f>
        <v>0.361904761904762</v>
      </c>
      <c r="D20" s="28" t="n">
        <f aca="false">$I$7</f>
        <v>1</v>
      </c>
      <c r="E20" s="28" t="n">
        <f aca="false">$I$8</f>
        <v>0</v>
      </c>
      <c r="F20" s="28" t="e">
        <f aca="false">IF(OR(B20&gt;$I$7,B20&lt;$I$8),B20,NA())</f>
        <v>#N/A</v>
      </c>
      <c r="G20" s="4" t="n">
        <f aca="false">IF(AND(B20&lt;=$I$7,B20&gt;=$I$8),1,0)</f>
        <v>1</v>
      </c>
      <c r="H20" s="26" t="s">
        <v>159</v>
      </c>
      <c r="I20" s="27" t="n">
        <f aca="false">SQRT(I19*(1-I19)/$I$4)</f>
        <v>0.214909146020089</v>
      </c>
      <c r="K20" s="31" t="n">
        <f aca="false">P1_Data!A18</f>
        <v>12</v>
      </c>
      <c r="L20" s="31" t="n">
        <f aca="false">P1_Data!N18</f>
        <v>1</v>
      </c>
      <c r="M20" s="33" t="n">
        <f aca="false">$L$2</f>
        <v>1.80952380952381</v>
      </c>
      <c r="N20" s="33" t="n">
        <f aca="false">$L$3</f>
        <v>5.03316099982514</v>
      </c>
      <c r="O20" s="33" t="n">
        <f aca="false">$L$4</f>
        <v>0</v>
      </c>
    </row>
    <row r="21" customFormat="false" ht="15" hidden="false" customHeight="true" outlineLevel="0" collapsed="false">
      <c r="A21" s="31" t="n">
        <f aca="false">P1_Data!A24</f>
        <v>18</v>
      </c>
      <c r="B21" s="28" t="n">
        <f aca="false">P1_Data!M24</f>
        <v>0.6</v>
      </c>
      <c r="C21" s="28" t="n">
        <f aca="false">$I$5</f>
        <v>0.361904761904762</v>
      </c>
      <c r="D21" s="28" t="n">
        <f aca="false">$I$7</f>
        <v>1</v>
      </c>
      <c r="E21" s="28" t="n">
        <f aca="false">$I$8</f>
        <v>0</v>
      </c>
      <c r="F21" s="28" t="e">
        <f aca="false">IF(OR(B21&gt;$I$7,B21&lt;$I$8),B21,NA())</f>
        <v>#N/A</v>
      </c>
      <c r="G21" s="4" t="n">
        <f aca="false">IF(AND(B21&lt;=$I$7,B21&gt;=$I$8),1,0)</f>
        <v>1</v>
      </c>
      <c r="H21" s="26" t="s">
        <v>160</v>
      </c>
      <c r="I21" s="27" t="n">
        <f aca="false">MIN(1,I19+3*I20)</f>
        <v>1</v>
      </c>
      <c r="K21" s="31" t="n">
        <f aca="false">P1_Data!A19</f>
        <v>13</v>
      </c>
      <c r="L21" s="31" t="n">
        <f aca="false">P1_Data!N19</f>
        <v>3</v>
      </c>
      <c r="M21" s="33" t="n">
        <f aca="false">$L$2</f>
        <v>1.80952380952381</v>
      </c>
      <c r="N21" s="33" t="n">
        <f aca="false">$L$3</f>
        <v>5.03316099982514</v>
      </c>
      <c r="O21" s="33" t="n">
        <f aca="false">$L$4</f>
        <v>0</v>
      </c>
    </row>
    <row r="22" customFormat="false" ht="15" hidden="false" customHeight="true" outlineLevel="0" collapsed="false">
      <c r="A22" s="31" t="n">
        <f aca="false">P1_Data!A25</f>
        <v>19</v>
      </c>
      <c r="B22" s="28" t="n">
        <f aca="false">P1_Data!M25</f>
        <v>0</v>
      </c>
      <c r="C22" s="28" t="n">
        <f aca="false">$I$5</f>
        <v>0.361904761904762</v>
      </c>
      <c r="D22" s="28" t="n">
        <f aca="false">$I$7</f>
        <v>1</v>
      </c>
      <c r="E22" s="28" t="n">
        <f aca="false">$I$8</f>
        <v>0</v>
      </c>
      <c r="F22" s="28" t="e">
        <f aca="false">IF(OR(B22&gt;$I$7,B22&lt;$I$8),B22,NA())</f>
        <v>#N/A</v>
      </c>
      <c r="G22" s="4" t="n">
        <f aca="false">IF(AND(B22&lt;=$I$7,B22&gt;=$I$8),1,0)</f>
        <v>1</v>
      </c>
      <c r="H22" s="3" t="s">
        <v>161</v>
      </c>
      <c r="I22" s="1" t="n">
        <f aca="false">MAX(0,I19-3*I20)</f>
        <v>0</v>
      </c>
      <c r="K22" s="31" t="n">
        <f aca="false">P1_Data!A20</f>
        <v>14</v>
      </c>
      <c r="L22" s="31" t="n">
        <f aca="false">P1_Data!N20</f>
        <v>4</v>
      </c>
      <c r="M22" s="33" t="n">
        <f aca="false">$L$2</f>
        <v>1.80952380952381</v>
      </c>
      <c r="N22" s="33" t="n">
        <f aca="false">$L$3</f>
        <v>5.03316099982514</v>
      </c>
      <c r="O22" s="33" t="n">
        <f aca="false">$L$4</f>
        <v>0</v>
      </c>
    </row>
    <row r="23" customFormat="false" ht="15" hidden="false" customHeight="true" outlineLevel="0" collapsed="false">
      <c r="A23" s="31" t="n">
        <f aca="false">P1_Data!A26</f>
        <v>20</v>
      </c>
      <c r="B23" s="28" t="n">
        <f aca="false">P1_Data!M26</f>
        <v>0</v>
      </c>
      <c r="C23" s="28" t="n">
        <f aca="false">$I$5</f>
        <v>0.361904761904762</v>
      </c>
      <c r="D23" s="28" t="n">
        <f aca="false">$I$7</f>
        <v>1</v>
      </c>
      <c r="E23" s="28" t="n">
        <f aca="false">$I$8</f>
        <v>0</v>
      </c>
      <c r="F23" s="28" t="e">
        <f aca="false">IF(OR(B23&gt;$I$7,B23&lt;$I$8),B23,NA())</f>
        <v>#N/A</v>
      </c>
      <c r="G23" s="4" t="n">
        <f aca="false">IF(AND(B23&lt;=$I$7,B23&gt;=$I$8),1,0)</f>
        <v>1</v>
      </c>
      <c r="K23" s="31" t="n">
        <f aca="false">P1_Data!A21</f>
        <v>15</v>
      </c>
      <c r="L23" s="31" t="n">
        <f aca="false">P1_Data!N21</f>
        <v>4</v>
      </c>
      <c r="M23" s="33" t="n">
        <f aca="false">$L$2</f>
        <v>1.80952380952381</v>
      </c>
      <c r="N23" s="33" t="n">
        <f aca="false">$L$3</f>
        <v>5.03316099982514</v>
      </c>
      <c r="O23" s="33" t="n">
        <f aca="false">$L$4</f>
        <v>0</v>
      </c>
    </row>
    <row r="24" customFormat="false" ht="15" hidden="false" customHeight="true" outlineLevel="0" collapsed="false">
      <c r="A24" s="29" t="n">
        <f aca="false">P1_Data!A27</f>
        <v>21</v>
      </c>
      <c r="B24" s="35" t="n">
        <f aca="false">P1_Data!M27</f>
        <v>0</v>
      </c>
      <c r="C24" s="35" t="n">
        <f aca="false">$I$5</f>
        <v>0.361904761904762</v>
      </c>
      <c r="D24" s="35" t="n">
        <f aca="false">$I$7</f>
        <v>1</v>
      </c>
      <c r="E24" s="35" t="n">
        <f aca="false">$I$8</f>
        <v>0</v>
      </c>
      <c r="F24" s="35" t="e">
        <f aca="false">IF(OR(B24&gt;$I$7,B24&lt;$I$8),B24,NA())</f>
        <v>#N/A</v>
      </c>
      <c r="G24" s="4" t="n">
        <f aca="false">IF(AND(B24&lt;=$I$7,B24&gt;=$I$8),1,0)</f>
        <v>1</v>
      </c>
      <c r="K24" s="31" t="n">
        <f aca="false">P1_Data!A22</f>
        <v>16</v>
      </c>
      <c r="L24" s="31" t="n">
        <f aca="false">P1_Data!N22</f>
        <v>3</v>
      </c>
      <c r="M24" s="33" t="n">
        <f aca="false">$L$2</f>
        <v>1.80952380952381</v>
      </c>
      <c r="N24" s="33" t="n">
        <f aca="false">$L$3</f>
        <v>5.03316099982514</v>
      </c>
      <c r="O24" s="33" t="n">
        <f aca="false">$L$4</f>
        <v>0</v>
      </c>
    </row>
    <row r="25" customFormat="false" ht="15" hidden="false" customHeight="true" outlineLevel="0" collapsed="false">
      <c r="A25" s="31" t="n">
        <f aca="false">P1_Data!A7</f>
        <v>1</v>
      </c>
      <c r="B25" s="28" t="n">
        <f aca="false">P1_Data!M7</f>
        <v>0.6</v>
      </c>
      <c r="C25" s="28" t="n">
        <f aca="false">$I$19</f>
        <v>0.361904761904762</v>
      </c>
      <c r="D25" s="28" t="n">
        <f aca="false">$I$21</f>
        <v>1</v>
      </c>
      <c r="E25" s="28" t="n">
        <f aca="false">$I$22</f>
        <v>0</v>
      </c>
      <c r="F25" s="28" t="e">
        <f aca="false">IF(OR(B25&gt;$I$21,B25&lt;$I$22),B25,NA())</f>
        <v>#N/A</v>
      </c>
      <c r="G25" s="4" t="n">
        <f aca="false">IF(AND(B25&lt;=$I$7,B25&gt;=$I$8),1,0)</f>
        <v>1</v>
      </c>
      <c r="K25" s="31" t="n">
        <f aca="false">P1_Data!A23</f>
        <v>17</v>
      </c>
      <c r="L25" s="31" t="n">
        <f aca="false">P1_Data!N23</f>
        <v>3</v>
      </c>
      <c r="M25" s="33" t="n">
        <f aca="false">$L$2</f>
        <v>1.80952380952381</v>
      </c>
      <c r="N25" s="33" t="n">
        <f aca="false">$L$3</f>
        <v>5.03316099982514</v>
      </c>
      <c r="O25" s="33" t="n">
        <f aca="false">$L$4</f>
        <v>0</v>
      </c>
    </row>
    <row r="26" customFormat="false" ht="15" hidden="false" customHeight="true" outlineLevel="0" collapsed="false">
      <c r="A26" s="31" t="n">
        <f aca="false">P1_Data!A8</f>
        <v>2</v>
      </c>
      <c r="B26" s="28" t="n">
        <f aca="false">P1_Data!M8</f>
        <v>0</v>
      </c>
      <c r="C26" s="28" t="n">
        <f aca="false">$I$19</f>
        <v>0.361904761904762</v>
      </c>
      <c r="D26" s="28" t="n">
        <f aca="false">$I$21</f>
        <v>1</v>
      </c>
      <c r="E26" s="28" t="n">
        <f aca="false">$I$22</f>
        <v>0</v>
      </c>
      <c r="F26" s="28" t="e">
        <f aca="false">IF(OR(B26&gt;$I$21,B26&lt;$I$22),B26,NA())</f>
        <v>#N/A</v>
      </c>
      <c r="G26" s="4" t="n">
        <f aca="false">IF(AND(B26&lt;=$I$7,B26&gt;=$I$8),1,0)</f>
        <v>1</v>
      </c>
      <c r="K26" s="31" t="n">
        <f aca="false">P1_Data!A24</f>
        <v>18</v>
      </c>
      <c r="L26" s="31" t="n">
        <f aca="false">P1_Data!N24</f>
        <v>3</v>
      </c>
      <c r="M26" s="33" t="n">
        <f aca="false">$L$2</f>
        <v>1.80952380952381</v>
      </c>
      <c r="N26" s="33" t="n">
        <f aca="false">$L$3</f>
        <v>5.03316099982514</v>
      </c>
      <c r="O26" s="33" t="n">
        <f aca="false">$L$4</f>
        <v>0</v>
      </c>
    </row>
    <row r="27" customFormat="false" ht="15" hidden="false" customHeight="true" outlineLevel="0" collapsed="false">
      <c r="A27" s="31" t="n">
        <f aca="false">P1_Data!A9</f>
        <v>3</v>
      </c>
      <c r="B27" s="28" t="n">
        <f aca="false">P1_Data!M9</f>
        <v>0.8</v>
      </c>
      <c r="C27" s="28" t="n">
        <f aca="false">$I$19</f>
        <v>0.361904761904762</v>
      </c>
      <c r="D27" s="28" t="n">
        <f aca="false">$I$21</f>
        <v>1</v>
      </c>
      <c r="E27" s="28" t="n">
        <f aca="false">$I$22</f>
        <v>0</v>
      </c>
      <c r="F27" s="28" t="e">
        <f aca="false">IF(OR(B27&gt;$I$21,B27&lt;$I$22),B27,NA())</f>
        <v>#N/A</v>
      </c>
      <c r="G27" s="4" t="n">
        <f aca="false">IF(AND(B27&lt;=$I$7,B27&gt;=$I$8),1,0)</f>
        <v>1</v>
      </c>
      <c r="K27" s="31" t="n">
        <f aca="false">P1_Data!A25</f>
        <v>19</v>
      </c>
      <c r="L27" s="31" t="n">
        <f aca="false">P1_Data!N25</f>
        <v>0</v>
      </c>
      <c r="M27" s="33" t="n">
        <f aca="false">$L$2</f>
        <v>1.80952380952381</v>
      </c>
      <c r="N27" s="33" t="n">
        <f aca="false">$L$3</f>
        <v>5.03316099982514</v>
      </c>
      <c r="O27" s="33" t="n">
        <f aca="false">$L$4</f>
        <v>0</v>
      </c>
    </row>
    <row r="28" customFormat="false" ht="15" hidden="false" customHeight="true" outlineLevel="0" collapsed="false">
      <c r="A28" s="31" t="n">
        <f aca="false">P1_Data!A10</f>
        <v>4</v>
      </c>
      <c r="B28" s="28" t="n">
        <f aca="false">P1_Data!M10</f>
        <v>0.4</v>
      </c>
      <c r="C28" s="28" t="n">
        <f aca="false">$I$19</f>
        <v>0.361904761904762</v>
      </c>
      <c r="D28" s="28" t="n">
        <f aca="false">$I$21</f>
        <v>1</v>
      </c>
      <c r="E28" s="28" t="n">
        <f aca="false">$I$22</f>
        <v>0</v>
      </c>
      <c r="F28" s="28" t="e">
        <f aca="false">IF(OR(B28&gt;$I$21,B28&lt;$I$22),B28,NA())</f>
        <v>#N/A</v>
      </c>
      <c r="G28" s="4" t="n">
        <f aca="false">IF(AND(B28&lt;=$I$7,B28&gt;=$I$8),1,0)</f>
        <v>1</v>
      </c>
      <c r="K28" s="31" t="n">
        <f aca="false">P1_Data!A26</f>
        <v>20</v>
      </c>
      <c r="L28" s="31" t="n">
        <f aca="false">P1_Data!N26</f>
        <v>0</v>
      </c>
      <c r="M28" s="33" t="n">
        <f aca="false">$L$2</f>
        <v>1.80952380952381</v>
      </c>
      <c r="N28" s="33" t="n">
        <f aca="false">$L$3</f>
        <v>5.03316099982514</v>
      </c>
      <c r="O28" s="33" t="n">
        <f aca="false">$L$4</f>
        <v>0</v>
      </c>
    </row>
    <row r="29" customFormat="false" ht="15" hidden="false" customHeight="true" outlineLevel="0" collapsed="false">
      <c r="A29" s="31" t="n">
        <f aca="false">P1_Data!A11</f>
        <v>5</v>
      </c>
      <c r="B29" s="28" t="n">
        <f aca="false">P1_Data!M11</f>
        <v>0.6</v>
      </c>
      <c r="C29" s="28" t="n">
        <f aca="false">$I$19</f>
        <v>0.361904761904762</v>
      </c>
      <c r="D29" s="28" t="n">
        <f aca="false">$I$21</f>
        <v>1</v>
      </c>
      <c r="E29" s="28" t="n">
        <f aca="false">$I$22</f>
        <v>0</v>
      </c>
      <c r="F29" s="28" t="e">
        <f aca="false">IF(OR(B29&gt;$I$21,B29&lt;$I$22),B29,NA())</f>
        <v>#N/A</v>
      </c>
      <c r="G29" s="4" t="n">
        <f aca="false">IF(AND(B29&lt;=$I$7,B29&gt;=$I$8),1,0)</f>
        <v>1</v>
      </c>
      <c r="K29" s="31" t="n">
        <f aca="false">P1_Data!A27</f>
        <v>21</v>
      </c>
      <c r="L29" s="31" t="n">
        <f aca="false">P1_Data!N27</f>
        <v>0</v>
      </c>
      <c r="M29" s="33" t="n">
        <f aca="false">$L$2</f>
        <v>1.80952380952381</v>
      </c>
      <c r="N29" s="33" t="n">
        <f aca="false">$L$3</f>
        <v>5.03316099982514</v>
      </c>
      <c r="O29" s="33" t="n">
        <f aca="false">$L$4</f>
        <v>0</v>
      </c>
    </row>
    <row r="30" customFormat="false" ht="15" hidden="false" customHeight="true" outlineLevel="0" collapsed="false">
      <c r="A30" s="31" t="n">
        <f aca="false">P1_Data!A12</f>
        <v>6</v>
      </c>
      <c r="B30" s="28" t="n">
        <f aca="false">P1_Data!M12</f>
        <v>0.4</v>
      </c>
      <c r="C30" s="28" t="n">
        <f aca="false">$I$19</f>
        <v>0.361904761904762</v>
      </c>
      <c r="D30" s="28" t="n">
        <f aca="false">$I$21</f>
        <v>1</v>
      </c>
      <c r="E30" s="28" t="n">
        <f aca="false">$I$22</f>
        <v>0</v>
      </c>
      <c r="F30" s="28" t="e">
        <f aca="false">IF(OR(B30&gt;$I$21,B30&lt;$I$22),B30,NA())</f>
        <v>#N/A</v>
      </c>
      <c r="G30" s="4" t="n">
        <f aca="false">IF(AND(B30&lt;=$I$7,B30&gt;=$I$8),1,0)</f>
        <v>1</v>
      </c>
      <c r="K30" s="31" t="n">
        <f aca="false">P1_Data!A28</f>
        <v>22</v>
      </c>
      <c r="L30" s="31" t="n">
        <f aca="false">P1_Data!N28</f>
        <v>0</v>
      </c>
      <c r="M30" s="33" t="n">
        <f aca="false">$L$2</f>
        <v>1.80952380952381</v>
      </c>
      <c r="N30" s="33" t="n">
        <f aca="false">$L$3</f>
        <v>5.03316099982514</v>
      </c>
      <c r="O30" s="33" t="n">
        <f aca="false">$L$4</f>
        <v>0</v>
      </c>
    </row>
    <row r="31" customFormat="false" ht="15" hidden="false" customHeight="true" outlineLevel="0" collapsed="false">
      <c r="A31" s="31" t="n">
        <f aca="false">P1_Data!A13</f>
        <v>7</v>
      </c>
      <c r="B31" s="28" t="n">
        <f aca="false">P1_Data!M13</f>
        <v>0.8</v>
      </c>
      <c r="C31" s="28" t="n">
        <f aca="false">$I$19</f>
        <v>0.361904761904762</v>
      </c>
      <c r="D31" s="28" t="n">
        <f aca="false">$I$21</f>
        <v>1</v>
      </c>
      <c r="E31" s="28" t="n">
        <f aca="false">$I$22</f>
        <v>0</v>
      </c>
      <c r="F31" s="28" t="e">
        <f aca="false">IF(OR(B31&gt;$I$21,B31&lt;$I$22),B31,NA())</f>
        <v>#N/A</v>
      </c>
      <c r="G31" s="4" t="n">
        <f aca="false">IF(AND(B31&lt;=$I$7,B31&gt;=$I$8),1,0)</f>
        <v>1</v>
      </c>
      <c r="K31" s="31" t="n">
        <f aca="false">P1_Data!A29</f>
        <v>23</v>
      </c>
      <c r="L31" s="31" t="n">
        <f aca="false">P1_Data!N29</f>
        <v>0</v>
      </c>
      <c r="M31" s="33" t="n">
        <f aca="false">$L$2</f>
        <v>1.80952380952381</v>
      </c>
      <c r="N31" s="33" t="n">
        <f aca="false">$L$3</f>
        <v>5.03316099982514</v>
      </c>
      <c r="O31" s="33" t="n">
        <f aca="false">$L$4</f>
        <v>0</v>
      </c>
    </row>
    <row r="32" customFormat="false" ht="15" hidden="false" customHeight="true" outlineLevel="0" collapsed="false">
      <c r="A32" s="31" t="n">
        <f aca="false">P1_Data!A14</f>
        <v>8</v>
      </c>
      <c r="B32" s="28" t="n">
        <f aca="false">P1_Data!M14</f>
        <v>0.6</v>
      </c>
      <c r="C32" s="28" t="n">
        <f aca="false">$I$19</f>
        <v>0.361904761904762</v>
      </c>
      <c r="D32" s="28" t="n">
        <f aca="false">$I$21</f>
        <v>1</v>
      </c>
      <c r="E32" s="28" t="n">
        <f aca="false">$I$22</f>
        <v>0</v>
      </c>
      <c r="F32" s="28" t="e">
        <f aca="false">IF(OR(B32&gt;$I$21,B32&lt;$I$22),B32,NA())</f>
        <v>#N/A</v>
      </c>
      <c r="G32" s="4" t="n">
        <f aca="false">IF(AND(B32&lt;=$I$7,B32&gt;=$I$8),1,0)</f>
        <v>1</v>
      </c>
      <c r="K32" s="31" t="n">
        <f aca="false">P1_Data!A30</f>
        <v>24</v>
      </c>
      <c r="L32" s="31" t="n">
        <f aca="false">P1_Data!N30</f>
        <v>0</v>
      </c>
      <c r="M32" s="33" t="n">
        <f aca="false">$L$2</f>
        <v>1.80952380952381</v>
      </c>
      <c r="N32" s="33" t="n">
        <f aca="false">$L$3</f>
        <v>5.03316099982514</v>
      </c>
      <c r="O32" s="33" t="n">
        <f aca="false">$L$4</f>
        <v>0</v>
      </c>
    </row>
    <row r="33" customFormat="false" ht="15" hidden="false" customHeight="true" outlineLevel="0" collapsed="false">
      <c r="A33" s="31" t="n">
        <f aca="false">P1_Data!A15</f>
        <v>9</v>
      </c>
      <c r="B33" s="28" t="n">
        <f aca="false">P1_Data!M15</f>
        <v>0.6</v>
      </c>
      <c r="C33" s="28" t="n">
        <f aca="false">$I$19</f>
        <v>0.361904761904762</v>
      </c>
      <c r="D33" s="28" t="n">
        <f aca="false">$I$21</f>
        <v>1</v>
      </c>
      <c r="E33" s="28" t="n">
        <f aca="false">$I$22</f>
        <v>0</v>
      </c>
      <c r="F33" s="28" t="e">
        <f aca="false">IF(OR(B33&gt;$I$21,B33&lt;$I$22),B33,NA())</f>
        <v>#N/A</v>
      </c>
      <c r="G33" s="4" t="n">
        <f aca="false">IF(AND(B33&lt;=$I$7,B33&gt;=$I$8),1,0)</f>
        <v>1</v>
      </c>
      <c r="K33" s="31" t="n">
        <f aca="false">P1_Data!A31</f>
        <v>25</v>
      </c>
      <c r="L33" s="31" t="n">
        <f aca="false">P1_Data!N31</f>
        <v>3</v>
      </c>
      <c r="M33" s="33" t="n">
        <f aca="false">$L$2</f>
        <v>1.80952380952381</v>
      </c>
      <c r="N33" s="33" t="n">
        <f aca="false">$L$3</f>
        <v>5.03316099982514</v>
      </c>
      <c r="O33" s="33" t="n">
        <f aca="false">$L$4</f>
        <v>0</v>
      </c>
    </row>
    <row r="34" customFormat="false" ht="15" hidden="false" customHeight="true" outlineLevel="0" collapsed="false">
      <c r="A34" s="31" t="n">
        <f aca="false">P1_Data!A16</f>
        <v>10</v>
      </c>
      <c r="B34" s="28" t="n">
        <f aca="false">P1_Data!M16</f>
        <v>0.2</v>
      </c>
      <c r="C34" s="28" t="n">
        <f aca="false">$I$19</f>
        <v>0.361904761904762</v>
      </c>
      <c r="D34" s="28" t="n">
        <f aca="false">$I$21</f>
        <v>1</v>
      </c>
      <c r="E34" s="28" t="n">
        <f aca="false">$I$22</f>
        <v>0</v>
      </c>
      <c r="F34" s="28" t="e">
        <f aca="false">IF(OR(B34&gt;$I$21,B34&lt;$I$22),B34,NA())</f>
        <v>#N/A</v>
      </c>
      <c r="G34" s="4" t="n">
        <f aca="false">IF(AND(B34&lt;=$I$7,B34&gt;=$I$8),1,0)</f>
        <v>1</v>
      </c>
      <c r="K34" s="31" t="n">
        <f aca="false">P1_Data!A32</f>
        <v>26</v>
      </c>
      <c r="L34" s="31" t="n">
        <f aca="false">P1_Data!N32</f>
        <v>2</v>
      </c>
      <c r="M34" s="33" t="n">
        <f aca="false">$L$2</f>
        <v>1.80952380952381</v>
      </c>
      <c r="N34" s="33" t="n">
        <f aca="false">$L$3</f>
        <v>5.03316099982514</v>
      </c>
      <c r="O34" s="33" t="n">
        <f aca="false">$L$4</f>
        <v>0</v>
      </c>
    </row>
    <row r="35" customFormat="false" ht="15" hidden="false" customHeight="true" outlineLevel="0" collapsed="false">
      <c r="A35" s="31" t="n">
        <f aca="false">P1_Data!A17</f>
        <v>11</v>
      </c>
      <c r="B35" s="28" t="n">
        <f aca="false">P1_Data!M17</f>
        <v>0.4</v>
      </c>
      <c r="C35" s="28" t="n">
        <f aca="false">$I$19</f>
        <v>0.361904761904762</v>
      </c>
      <c r="D35" s="28" t="n">
        <f aca="false">$I$21</f>
        <v>1</v>
      </c>
      <c r="E35" s="28" t="n">
        <f aca="false">$I$22</f>
        <v>0</v>
      </c>
      <c r="F35" s="28" t="e">
        <f aca="false">IF(OR(B35&gt;$I$21,B35&lt;$I$22),B35,NA())</f>
        <v>#N/A</v>
      </c>
      <c r="G35" s="4" t="n">
        <f aca="false">IF(AND(B35&lt;=$I$7,B35&gt;=$I$8),1,0)</f>
        <v>1</v>
      </c>
      <c r="K35" s="31" t="n">
        <f aca="false">P1_Data!A33</f>
        <v>27</v>
      </c>
      <c r="L35" s="31" t="n">
        <f aca="false">P1_Data!N33</f>
        <v>2</v>
      </c>
      <c r="M35" s="33" t="n">
        <f aca="false">$L$2</f>
        <v>1.80952380952381</v>
      </c>
      <c r="N35" s="33" t="n">
        <f aca="false">$L$3</f>
        <v>5.03316099982514</v>
      </c>
      <c r="O35" s="33" t="n">
        <f aca="false">$L$4</f>
        <v>0</v>
      </c>
    </row>
    <row r="36" customFormat="false" ht="15" hidden="false" customHeight="true" outlineLevel="0" collapsed="false">
      <c r="A36" s="31" t="n">
        <f aca="false">P1_Data!A18</f>
        <v>12</v>
      </c>
      <c r="B36" s="28" t="n">
        <f aca="false">P1_Data!M18</f>
        <v>0.2</v>
      </c>
      <c r="C36" s="28" t="n">
        <f aca="false">$I$19</f>
        <v>0.361904761904762</v>
      </c>
      <c r="D36" s="28" t="n">
        <f aca="false">$I$21</f>
        <v>1</v>
      </c>
      <c r="E36" s="28" t="n">
        <f aca="false">$I$22</f>
        <v>0</v>
      </c>
      <c r="F36" s="28" t="e">
        <f aca="false">IF(OR(B36&gt;$I$21,B36&lt;$I$22),B36,NA())</f>
        <v>#N/A</v>
      </c>
      <c r="G36" s="4" t="n">
        <f aca="false">IF(AND(B36&lt;=$I$7,B36&gt;=$I$8),1,0)</f>
        <v>1</v>
      </c>
      <c r="K36" s="31" t="n">
        <f aca="false">P1_Data!A34</f>
        <v>28</v>
      </c>
      <c r="L36" s="31" t="n">
        <f aca="false">P1_Data!N34</f>
        <v>3</v>
      </c>
      <c r="M36" s="33" t="n">
        <f aca="false">$L$2</f>
        <v>1.80952380952381</v>
      </c>
      <c r="N36" s="33" t="n">
        <f aca="false">$L$3</f>
        <v>5.03316099982514</v>
      </c>
      <c r="O36" s="33" t="n">
        <f aca="false">$L$4</f>
        <v>0</v>
      </c>
    </row>
    <row r="37" customFormat="false" ht="15" hidden="false" customHeight="true" outlineLevel="0" collapsed="false">
      <c r="A37" s="31" t="n">
        <f aca="false">P1_Data!A19</f>
        <v>13</v>
      </c>
      <c r="B37" s="28" t="n">
        <f aca="false">P1_Data!M19</f>
        <v>0.6</v>
      </c>
      <c r="C37" s="28" t="n">
        <f aca="false">$I$19</f>
        <v>0.361904761904762</v>
      </c>
      <c r="D37" s="28" t="n">
        <f aca="false">$I$21</f>
        <v>1</v>
      </c>
      <c r="E37" s="28" t="n">
        <f aca="false">$I$22</f>
        <v>0</v>
      </c>
      <c r="F37" s="28" t="e">
        <f aca="false">IF(OR(B37&gt;$I$21,B37&lt;$I$22),B37,NA())</f>
        <v>#N/A</v>
      </c>
      <c r="G37" s="4" t="n">
        <f aca="false">IF(AND(B37&lt;=$I$7,B37&gt;=$I$8),1,0)</f>
        <v>1</v>
      </c>
      <c r="K37" s="36" t="n">
        <f aca="false">P1_Data!A35</f>
        <v>29</v>
      </c>
      <c r="L37" s="31" t="n">
        <f aca="false">P1_Data!N35</f>
        <v>3</v>
      </c>
      <c r="M37" s="33" t="n">
        <f aca="false">$L$2</f>
        <v>1.80952380952381</v>
      </c>
      <c r="N37" s="33" t="n">
        <f aca="false">$L$3</f>
        <v>5.03316099982514</v>
      </c>
      <c r="O37" s="33" t="n">
        <f aca="false">$L$4</f>
        <v>0</v>
      </c>
    </row>
    <row r="38" customFormat="false" ht="15" hidden="false" customHeight="true" outlineLevel="0" collapsed="false">
      <c r="A38" s="31" t="n">
        <f aca="false">P1_Data!A20</f>
        <v>14</v>
      </c>
      <c r="B38" s="28" t="n">
        <f aca="false">P1_Data!M20</f>
        <v>0.8</v>
      </c>
      <c r="C38" s="28" t="n">
        <f aca="false">$I$19</f>
        <v>0.361904761904762</v>
      </c>
      <c r="D38" s="28" t="n">
        <f aca="false">$I$21</f>
        <v>1</v>
      </c>
      <c r="E38" s="28" t="n">
        <f aca="false">$I$22</f>
        <v>0</v>
      </c>
      <c r="F38" s="28" t="e">
        <f aca="false">IF(OR(B38&gt;$I$21,B38&lt;$I$22),B38,NA())</f>
        <v>#N/A</v>
      </c>
      <c r="G38" s="4" t="n">
        <f aca="false">IF(AND(B38&lt;=$I$7,B38&gt;=$I$8),1,0)</f>
        <v>1</v>
      </c>
      <c r="K38" s="29" t="n">
        <f aca="false">P1_Data!A36</f>
        <v>30</v>
      </c>
      <c r="L38" s="29" t="n">
        <f aca="false">P1_Data!N36</f>
        <v>2</v>
      </c>
      <c r="M38" s="37" t="n">
        <f aca="false">$L$2</f>
        <v>1.80952380952381</v>
      </c>
      <c r="N38" s="33" t="n">
        <f aca="false">$L$3</f>
        <v>5.03316099982514</v>
      </c>
      <c r="O38" s="33" t="n">
        <f aca="false">$L$4</f>
        <v>0</v>
      </c>
    </row>
    <row r="39" customFormat="false" ht="15" hidden="false" customHeight="true" outlineLevel="0" collapsed="false">
      <c r="A39" s="31" t="n">
        <f aca="false">P1_Data!A21</f>
        <v>15</v>
      </c>
      <c r="B39" s="28" t="n">
        <f aca="false">P1_Data!M21</f>
        <v>0.8</v>
      </c>
      <c r="C39" s="28" t="n">
        <f aca="false">$I$19</f>
        <v>0.361904761904762</v>
      </c>
      <c r="D39" s="28" t="n">
        <f aca="false">$I$21</f>
        <v>1</v>
      </c>
      <c r="E39" s="28" t="n">
        <f aca="false">$I$22</f>
        <v>0</v>
      </c>
      <c r="F39" s="28" t="e">
        <f aca="false">IF(OR(B39&gt;$I$21,B39&lt;$I$22),B39,NA())</f>
        <v>#N/A</v>
      </c>
      <c r="G39" s="4" t="n">
        <f aca="false">IF(AND(B39&lt;=$I$7,B39&gt;=$I$8),1,0)</f>
        <v>1</v>
      </c>
      <c r="K39" s="31" t="s">
        <v>115</v>
      </c>
      <c r="L39" s="31" t="n">
        <f aca="false">SUMIF(P1_Data!$G$7:$G$48,K39,P1_Data!$K$7:$K$48)</f>
        <v>20</v>
      </c>
      <c r="M39" s="38" t="n">
        <f aca="false">SUM($L$39:L39)/SUM($L$39:$L$45)</f>
        <v>0.263157894736842</v>
      </c>
      <c r="N39" s="33" t="n">
        <f aca="false">$L$3</f>
        <v>5.03316099982514</v>
      </c>
      <c r="O39" s="33" t="n">
        <f aca="false">$L$4</f>
        <v>0</v>
      </c>
    </row>
    <row r="40" customFormat="false" ht="15" hidden="false" customHeight="true" outlineLevel="0" collapsed="false">
      <c r="A40" s="31" t="n">
        <f aca="false">P1_Data!A22</f>
        <v>16</v>
      </c>
      <c r="B40" s="28" t="n">
        <f aca="false">P1_Data!M22</f>
        <v>0.6</v>
      </c>
      <c r="C40" s="28" t="n">
        <f aca="false">$I$19</f>
        <v>0.361904761904762</v>
      </c>
      <c r="D40" s="28" t="n">
        <f aca="false">$I$21</f>
        <v>1</v>
      </c>
      <c r="E40" s="28" t="n">
        <f aca="false">$I$22</f>
        <v>0</v>
      </c>
      <c r="F40" s="28" t="e">
        <f aca="false">IF(OR(B40&gt;$I$21,B40&lt;$I$22),B40,NA())</f>
        <v>#N/A</v>
      </c>
      <c r="G40" s="4" t="n">
        <f aca="false">IF(AND(B40&lt;=$I$7,B40&gt;=$I$8),1,0)</f>
        <v>1</v>
      </c>
      <c r="K40" s="31" t="s">
        <v>121</v>
      </c>
      <c r="L40" s="31" t="n">
        <f aca="false">SUMIF(P1_Data!$G$7:$G$48,K40,P1_Data!$K$7:$K$48)</f>
        <v>15</v>
      </c>
      <c r="M40" s="38" t="n">
        <f aca="false">SUM($L$39:L40)/SUM($L$39:$L$45)</f>
        <v>0.460526315789474</v>
      </c>
      <c r="N40" s="33" t="n">
        <f aca="false">$L$3</f>
        <v>5.03316099982514</v>
      </c>
      <c r="O40" s="33" t="n">
        <f aca="false">$L$4</f>
        <v>0</v>
      </c>
    </row>
    <row r="41" customFormat="false" ht="15" hidden="false" customHeight="true" outlineLevel="0" collapsed="false">
      <c r="A41" s="31" t="n">
        <f aca="false">P1_Data!A23</f>
        <v>17</v>
      </c>
      <c r="B41" s="28" t="n">
        <f aca="false">P1_Data!M23</f>
        <v>0.6</v>
      </c>
      <c r="C41" s="28" t="n">
        <f aca="false">$I$19</f>
        <v>0.361904761904762</v>
      </c>
      <c r="D41" s="28" t="n">
        <f aca="false">$I$21</f>
        <v>1</v>
      </c>
      <c r="E41" s="28" t="n">
        <f aca="false">$I$22</f>
        <v>0</v>
      </c>
      <c r="F41" s="28" t="e">
        <f aca="false">IF(OR(B41&gt;$I$21,B41&lt;$I$22),B41,NA())</f>
        <v>#N/A</v>
      </c>
      <c r="G41" s="4" t="n">
        <f aca="false">IF(AND(B41&lt;=$I$7,B41&gt;=$I$8),1,0)</f>
        <v>1</v>
      </c>
      <c r="K41" s="31" t="s">
        <v>112</v>
      </c>
      <c r="L41" s="31" t="n">
        <f aca="false">SUMIF(P1_Data!$G$7:$G$48,K41,P1_Data!$K$7:$K$48)</f>
        <v>14</v>
      </c>
      <c r="M41" s="38" t="n">
        <f aca="false">SUM($L$39:L41)/SUM($L$39:$L$45)</f>
        <v>0.644736842105263</v>
      </c>
      <c r="N41" s="33" t="n">
        <f aca="false">$L$3</f>
        <v>5.03316099982514</v>
      </c>
      <c r="O41" s="33" t="n">
        <f aca="false">$L$4</f>
        <v>0</v>
      </c>
    </row>
    <row r="42" customFormat="false" ht="15" hidden="false" customHeight="true" outlineLevel="0" collapsed="false">
      <c r="A42" s="31" t="n">
        <f aca="false">P1_Data!A24</f>
        <v>18</v>
      </c>
      <c r="B42" s="28" t="n">
        <f aca="false">P1_Data!M24</f>
        <v>0.6</v>
      </c>
      <c r="C42" s="28" t="n">
        <f aca="false">$I$19</f>
        <v>0.361904761904762</v>
      </c>
      <c r="D42" s="28" t="n">
        <f aca="false">$I$21</f>
        <v>1</v>
      </c>
      <c r="E42" s="28" t="n">
        <f aca="false">$I$22</f>
        <v>0</v>
      </c>
      <c r="F42" s="28" t="e">
        <f aca="false">IF(OR(B42&gt;$I$21,B42&lt;$I$22),B42,NA())</f>
        <v>#N/A</v>
      </c>
      <c r="G42" s="4" t="n">
        <f aca="false">IF(AND(B42&lt;=$I$7,B42&gt;=$I$8),1,0)</f>
        <v>1</v>
      </c>
      <c r="K42" s="31" t="s">
        <v>101</v>
      </c>
      <c r="L42" s="31" t="n">
        <f aca="false">SUMIF(P1_Data!$G$7:$G$48,K42,P1_Data!$K$7:$K$48)</f>
        <v>14</v>
      </c>
      <c r="M42" s="38" t="n">
        <f aca="false">SUM($L$39:L42)/SUM($L$39:$L$45)</f>
        <v>0.828947368421053</v>
      </c>
      <c r="N42" s="33" t="n">
        <f aca="false">$L$3</f>
        <v>5.03316099982514</v>
      </c>
      <c r="O42" s="33" t="n">
        <f aca="false">$L$4</f>
        <v>0</v>
      </c>
    </row>
    <row r="43" customFormat="false" ht="15" hidden="false" customHeight="true" outlineLevel="0" collapsed="false">
      <c r="A43" s="31" t="n">
        <f aca="false">P1_Data!A25</f>
        <v>19</v>
      </c>
      <c r="B43" s="28" t="n">
        <f aca="false">P1_Data!M25</f>
        <v>0</v>
      </c>
      <c r="C43" s="28" t="n">
        <f aca="false">$I$19</f>
        <v>0.361904761904762</v>
      </c>
      <c r="D43" s="28" t="n">
        <f aca="false">$I$21</f>
        <v>1</v>
      </c>
      <c r="E43" s="28" t="n">
        <f aca="false">$I$22</f>
        <v>0</v>
      </c>
      <c r="F43" s="28" t="e">
        <f aca="false">IF(OR(B43&gt;$I$21,B43&lt;$I$22),B43,NA())</f>
        <v>#N/A</v>
      </c>
      <c r="G43" s="4" t="n">
        <f aca="false">IF(AND(B43&lt;=$I$7,B43&gt;=$I$8),1,0)</f>
        <v>1</v>
      </c>
      <c r="K43" s="31" t="s">
        <v>126</v>
      </c>
      <c r="L43" s="31" t="n">
        <f aca="false">SUMIF(P1_Data!$G$7:$G$48,K43,P1_Data!$K$7:$K$48)</f>
        <v>13</v>
      </c>
      <c r="M43" s="38" t="n">
        <f aca="false">SUM($L$39:L43)/SUM($L$39:$L$45)</f>
        <v>1</v>
      </c>
      <c r="N43" s="33" t="n">
        <f aca="false">$L$3</f>
        <v>5.03316099982514</v>
      </c>
      <c r="O43" s="33" t="n">
        <f aca="false">$L$4</f>
        <v>0</v>
      </c>
    </row>
    <row r="44" customFormat="false" ht="15" hidden="false" customHeight="true" outlineLevel="0" collapsed="false">
      <c r="A44" s="31" t="n">
        <f aca="false">P1_Data!A26</f>
        <v>20</v>
      </c>
      <c r="B44" s="28" t="n">
        <f aca="false">P1_Data!M26</f>
        <v>0</v>
      </c>
      <c r="C44" s="28" t="n">
        <f aca="false">$I$19</f>
        <v>0.361904761904762</v>
      </c>
      <c r="D44" s="28" t="n">
        <f aca="false">$I$21</f>
        <v>1</v>
      </c>
      <c r="E44" s="28" t="n">
        <f aca="false">$I$22</f>
        <v>0</v>
      </c>
      <c r="F44" s="28" t="e">
        <f aca="false">IF(OR(B44&gt;$I$21,B44&lt;$I$22),B44,NA())</f>
        <v>#N/A</v>
      </c>
      <c r="G44" s="4" t="n">
        <f aca="false">IF(AND(B44&lt;=$I$7,B44&gt;=$I$8),1,0)</f>
        <v>1</v>
      </c>
      <c r="K44" s="31" t="s">
        <v>119</v>
      </c>
      <c r="L44" s="31" t="n">
        <f aca="false">SUMIF(P1_Data!$G$7:$G$48,K44,P1_Data!$K$7:$K$48)</f>
        <v>0</v>
      </c>
      <c r="M44" s="38" t="n">
        <f aca="false">SUM($L$39:L44)/SUM($L$39:$L$45)</f>
        <v>1</v>
      </c>
      <c r="N44" s="33" t="n">
        <f aca="false">$L$3</f>
        <v>5.03316099982514</v>
      </c>
      <c r="O44" s="33" t="n">
        <f aca="false">$L$4</f>
        <v>0</v>
      </c>
    </row>
    <row r="45" customFormat="false" ht="15" hidden="false" customHeight="true" outlineLevel="0" collapsed="false">
      <c r="A45" s="31" t="n">
        <f aca="false">P1_Data!A27</f>
        <v>21</v>
      </c>
      <c r="B45" s="28" t="n">
        <f aca="false">P1_Data!M27</f>
        <v>0</v>
      </c>
      <c r="C45" s="28" t="n">
        <f aca="false">$I$19</f>
        <v>0.361904761904762</v>
      </c>
      <c r="D45" s="28" t="n">
        <f aca="false">$I$21</f>
        <v>1</v>
      </c>
      <c r="E45" s="28" t="n">
        <f aca="false">$I$22</f>
        <v>0</v>
      </c>
      <c r="F45" s="28" t="e">
        <f aca="false">IF(OR(B45&gt;$I$21,B45&lt;$I$22),B45,NA())</f>
        <v>#N/A</v>
      </c>
      <c r="G45" s="4" t="n">
        <f aca="false">IF(AND(B45&lt;=$I$7,B45&gt;=$I$8),1,0)</f>
        <v>1</v>
      </c>
      <c r="K45" s="31" t="s">
        <v>125</v>
      </c>
      <c r="L45" s="31" t="n">
        <f aca="false">SUMIF(P1_Data!$G$7:$G$48,K45,P1_Data!$K$7:$K$48)</f>
        <v>0</v>
      </c>
      <c r="M45" s="38" t="n">
        <f aca="false">SUM($L$39:L45)/SUM($L$39:$L$45)</f>
        <v>1</v>
      </c>
      <c r="N45" s="33" t="n">
        <f aca="false">$L$3</f>
        <v>5.03316099982514</v>
      </c>
      <c r="O45" s="33" t="n">
        <f aca="false">$L$4</f>
        <v>0</v>
      </c>
    </row>
    <row r="46" customFormat="false" ht="15" hidden="false" customHeight="true" outlineLevel="0" collapsed="false">
      <c r="A46" s="31" t="n">
        <f aca="false">P1_Data!A28</f>
        <v>22</v>
      </c>
      <c r="B46" s="28" t="n">
        <f aca="false">P1_Data!M28</f>
        <v>0</v>
      </c>
      <c r="C46" s="28" t="n">
        <f aca="false">$I$19</f>
        <v>0.361904761904762</v>
      </c>
      <c r="D46" s="28" t="n">
        <f aca="false">$I$21</f>
        <v>1</v>
      </c>
      <c r="E46" s="28" t="n">
        <f aca="false">$I$22</f>
        <v>0</v>
      </c>
      <c r="F46" s="28" t="e">
        <f aca="false">IF(OR(B46&gt;$I$21,B46&lt;$I$22),B46,NA())</f>
        <v>#N/A</v>
      </c>
      <c r="K46" s="31" t="n">
        <f aca="false">P1_Data!A44</f>
        <v>38</v>
      </c>
      <c r="L46" s="31" t="n">
        <f aca="false">P1_Data!N44</f>
        <v>2</v>
      </c>
      <c r="M46" s="33" t="n">
        <f aca="false">$L$2</f>
        <v>1.80952380952381</v>
      </c>
      <c r="N46" s="33" t="n">
        <f aca="false">$L$3</f>
        <v>5.03316099982514</v>
      </c>
      <c r="O46" s="33" t="n">
        <f aca="false">$L$4</f>
        <v>0</v>
      </c>
    </row>
    <row r="47" customFormat="false" ht="15" hidden="false" customHeight="true" outlineLevel="0" collapsed="false">
      <c r="A47" s="31" t="n">
        <f aca="false">P1_Data!A29</f>
        <v>23</v>
      </c>
      <c r="B47" s="28" t="n">
        <f aca="false">P1_Data!M29</f>
        <v>0</v>
      </c>
      <c r="C47" s="28" t="n">
        <f aca="false">$I$19</f>
        <v>0.361904761904762</v>
      </c>
      <c r="D47" s="28" t="n">
        <f aca="false">$I$21</f>
        <v>1</v>
      </c>
      <c r="E47" s="28" t="n">
        <f aca="false">$I$22</f>
        <v>0</v>
      </c>
      <c r="F47" s="28" t="e">
        <f aca="false">IF(OR(B47&gt;$I$21,B47&lt;$I$22),B47,NA())</f>
        <v>#N/A</v>
      </c>
      <c r="K47" s="31" t="n">
        <f aca="false">P1_Data!A45</f>
        <v>39</v>
      </c>
      <c r="L47" s="31" t="n">
        <f aca="false">P1_Data!N45</f>
        <v>4</v>
      </c>
      <c r="M47" s="33" t="n">
        <f aca="false">$L$2</f>
        <v>1.80952380952381</v>
      </c>
      <c r="N47" s="33" t="n">
        <f aca="false">$L$3</f>
        <v>5.03316099982514</v>
      </c>
      <c r="O47" s="33" t="n">
        <f aca="false">$L$4</f>
        <v>0</v>
      </c>
    </row>
    <row r="48" customFormat="false" ht="15" hidden="false" customHeight="true" outlineLevel="0" collapsed="false">
      <c r="A48" s="31" t="n">
        <f aca="false">P1_Data!A30</f>
        <v>24</v>
      </c>
      <c r="B48" s="28" t="n">
        <f aca="false">P1_Data!M30</f>
        <v>0</v>
      </c>
      <c r="C48" s="28" t="n">
        <f aca="false">$I$19</f>
        <v>0.361904761904762</v>
      </c>
      <c r="D48" s="28" t="n">
        <f aca="false">$I$21</f>
        <v>1</v>
      </c>
      <c r="E48" s="28" t="n">
        <f aca="false">$I$22</f>
        <v>0</v>
      </c>
      <c r="F48" s="28" t="e">
        <f aca="false">IF(OR(B48&gt;$I$21,B48&lt;$I$22),B48,NA())</f>
        <v>#N/A</v>
      </c>
      <c r="K48" s="31" t="n">
        <f aca="false">P1_Data!A46</f>
        <v>40</v>
      </c>
      <c r="L48" s="31" t="n">
        <f aca="false">P1_Data!N46</f>
        <v>1</v>
      </c>
      <c r="M48" s="33" t="n">
        <f aca="false">$L$2</f>
        <v>1.80952380952381</v>
      </c>
      <c r="N48" s="33" t="n">
        <f aca="false">$L$3</f>
        <v>5.03316099982514</v>
      </c>
      <c r="O48" s="33" t="n">
        <f aca="false">$L$4</f>
        <v>0</v>
      </c>
    </row>
    <row r="49" customFormat="false" ht="15" hidden="false" customHeight="true" outlineLevel="0" collapsed="false">
      <c r="A49" s="31" t="n">
        <f aca="false">P1_Data!A31</f>
        <v>25</v>
      </c>
      <c r="B49" s="28" t="n">
        <f aca="false">P1_Data!M31</f>
        <v>0.6</v>
      </c>
      <c r="C49" s="28" t="n">
        <f aca="false">$I$19</f>
        <v>0.361904761904762</v>
      </c>
      <c r="D49" s="28" t="n">
        <f aca="false">$I$21</f>
        <v>1</v>
      </c>
      <c r="E49" s="28" t="n">
        <f aca="false">$I$22</f>
        <v>0</v>
      </c>
      <c r="F49" s="28" t="e">
        <f aca="false">IF(OR(B49&gt;$I$21,B49&lt;$I$22),B49,NA())</f>
        <v>#N/A</v>
      </c>
      <c r="K49" s="31" t="n">
        <f aca="false">P1_Data!A47</f>
        <v>41</v>
      </c>
      <c r="L49" s="31" t="n">
        <f aca="false">P1_Data!N47</f>
        <v>3</v>
      </c>
      <c r="M49" s="33" t="n">
        <f aca="false">$L$2</f>
        <v>1.80952380952381</v>
      </c>
      <c r="N49" s="33" t="n">
        <f aca="false">$L$3</f>
        <v>5.03316099982514</v>
      </c>
      <c r="O49" s="33" t="n">
        <f aca="false">$L$4</f>
        <v>0</v>
      </c>
    </row>
    <row r="50" customFormat="false" ht="15" hidden="false" customHeight="true" outlineLevel="0" collapsed="false">
      <c r="A50" s="31" t="n">
        <f aca="false">P1_Data!A32</f>
        <v>26</v>
      </c>
      <c r="B50" s="28" t="n">
        <f aca="false">P1_Data!M32</f>
        <v>0.4</v>
      </c>
      <c r="C50" s="28" t="n">
        <f aca="false">$I$19</f>
        <v>0.361904761904762</v>
      </c>
      <c r="D50" s="28" t="n">
        <f aca="false">$I$21</f>
        <v>1</v>
      </c>
      <c r="E50" s="28" t="n">
        <f aca="false">$I$22</f>
        <v>0</v>
      </c>
      <c r="F50" s="28" t="e">
        <f aca="false">IF(OR(B50&gt;$I$21,B50&lt;$I$22),B50,NA())</f>
        <v>#N/A</v>
      </c>
      <c r="K50" s="31" t="n">
        <f aca="false">P1_Data!A48</f>
        <v>42</v>
      </c>
      <c r="L50" s="31" t="n">
        <f aca="false">P1_Data!N48</f>
        <v>3</v>
      </c>
      <c r="M50" s="33" t="n">
        <f aca="false">$L$2</f>
        <v>1.80952380952381</v>
      </c>
      <c r="N50" s="33" t="n">
        <f aca="false">$L$3</f>
        <v>5.03316099982514</v>
      </c>
      <c r="O50" s="33" t="n">
        <f aca="false">$L$4</f>
        <v>0</v>
      </c>
    </row>
    <row r="51" customFormat="false" ht="15" hidden="false" customHeight="true" outlineLevel="0" collapsed="false">
      <c r="A51" s="31" t="n">
        <f aca="false">P1_Data!A33</f>
        <v>27</v>
      </c>
      <c r="B51" s="28" t="n">
        <f aca="false">P1_Data!M33</f>
        <v>0.4</v>
      </c>
      <c r="C51" s="28" t="n">
        <f aca="false">$I$19</f>
        <v>0.361904761904762</v>
      </c>
      <c r="D51" s="28" t="n">
        <f aca="false">$I$21</f>
        <v>1</v>
      </c>
      <c r="E51" s="28" t="n">
        <f aca="false">$I$22</f>
        <v>0</v>
      </c>
      <c r="F51" s="28" t="e">
        <f aca="false">IF(OR(B51&gt;$I$21,B51&lt;$I$22),B51,NA())</f>
        <v>#N/A</v>
      </c>
    </row>
    <row r="52" customFormat="false" ht="15" hidden="false" customHeight="true" outlineLevel="0" collapsed="false">
      <c r="A52" s="31" t="n">
        <f aca="false">P1_Data!A34</f>
        <v>28</v>
      </c>
      <c r="B52" s="28" t="n">
        <f aca="false">P1_Data!M34</f>
        <v>0.6</v>
      </c>
      <c r="C52" s="28" t="n">
        <f aca="false">$I$19</f>
        <v>0.361904761904762</v>
      </c>
      <c r="D52" s="28" t="n">
        <f aca="false">$I$21</f>
        <v>1</v>
      </c>
      <c r="E52" s="28" t="n">
        <f aca="false">$I$22</f>
        <v>0</v>
      </c>
      <c r="F52" s="28" t="e">
        <f aca="false">IF(OR(B52&gt;$I$21,B52&lt;$I$22),B52,NA())</f>
        <v>#N/A</v>
      </c>
    </row>
    <row r="53" customFormat="false" ht="15" hidden="false" customHeight="true" outlineLevel="0" collapsed="false">
      <c r="A53" s="31" t="n">
        <f aca="false">P1_Data!A35</f>
        <v>29</v>
      </c>
      <c r="B53" s="28" t="n">
        <f aca="false">P1_Data!M35</f>
        <v>0.6</v>
      </c>
      <c r="C53" s="28" t="n">
        <f aca="false">$I$19</f>
        <v>0.361904761904762</v>
      </c>
      <c r="D53" s="28" t="n">
        <f aca="false">$I$21</f>
        <v>1</v>
      </c>
      <c r="E53" s="28" t="n">
        <f aca="false">$I$22</f>
        <v>0</v>
      </c>
      <c r="F53" s="28" t="e">
        <f aca="false">IF(OR(B53&gt;$I$21,B53&lt;$I$22),B53,NA())</f>
        <v>#N/A</v>
      </c>
    </row>
    <row r="54" customFormat="false" ht="15" hidden="false" customHeight="true" outlineLevel="0" collapsed="false">
      <c r="A54" s="31" t="n">
        <f aca="false">P1_Data!A36</f>
        <v>30</v>
      </c>
      <c r="B54" s="28" t="n">
        <f aca="false">P1_Data!M36</f>
        <v>0.4</v>
      </c>
      <c r="C54" s="28" t="n">
        <f aca="false">$I$19</f>
        <v>0.361904761904762</v>
      </c>
      <c r="D54" s="28" t="n">
        <f aca="false">$I$21</f>
        <v>1</v>
      </c>
      <c r="E54" s="28" t="n">
        <f aca="false">$I$22</f>
        <v>0</v>
      </c>
      <c r="F54" s="28" t="e">
        <f aca="false">IF(OR(B54&gt;$I$21,B54&lt;$I$22),B54,NA())</f>
        <v>#N/A</v>
      </c>
    </row>
    <row r="55" customFormat="false" ht="15" hidden="false" customHeight="true" outlineLevel="0" collapsed="false">
      <c r="A55" s="31" t="n">
        <f aca="false">P1_Data!A37</f>
        <v>31</v>
      </c>
      <c r="B55" s="28" t="n">
        <f aca="false">P1_Data!M37</f>
        <v>0</v>
      </c>
      <c r="C55" s="28" t="n">
        <f aca="false">$I$19</f>
        <v>0.361904761904762</v>
      </c>
      <c r="D55" s="28" t="n">
        <f aca="false">$I$21</f>
        <v>1</v>
      </c>
      <c r="E55" s="28" t="n">
        <f aca="false">$I$22</f>
        <v>0</v>
      </c>
      <c r="F55" s="28" t="e">
        <f aca="false">IF(OR(B55&gt;$I$21,B55&lt;$I$22),B55,NA())</f>
        <v>#N/A</v>
      </c>
    </row>
    <row r="56" customFormat="false" ht="15" hidden="false" customHeight="true" outlineLevel="0" collapsed="false">
      <c r="A56" s="31" t="n">
        <f aca="false">P1_Data!A38</f>
        <v>32</v>
      </c>
      <c r="B56" s="28" t="n">
        <f aca="false">P1_Data!M38</f>
        <v>0</v>
      </c>
      <c r="C56" s="28" t="n">
        <f aca="false">$I$19</f>
        <v>0.361904761904762</v>
      </c>
      <c r="D56" s="28" t="n">
        <f aca="false">$I$21</f>
        <v>1</v>
      </c>
      <c r="E56" s="28" t="n">
        <f aca="false">$I$22</f>
        <v>0</v>
      </c>
      <c r="F56" s="28" t="e">
        <f aca="false">IF(OR(B56&gt;$I$21,B56&lt;$I$22),B56,NA())</f>
        <v>#N/A</v>
      </c>
      <c r="K56" s="6" t="s">
        <v>162</v>
      </c>
    </row>
    <row r="57" customFormat="false" ht="15" hidden="false" customHeight="true" outlineLevel="0" collapsed="false">
      <c r="A57" s="31" t="n">
        <f aca="false">P1_Data!A39</f>
        <v>33</v>
      </c>
      <c r="B57" s="28" t="n">
        <f aca="false">P1_Data!M39</f>
        <v>0</v>
      </c>
      <c r="C57" s="28" t="n">
        <f aca="false">$I$19</f>
        <v>0.361904761904762</v>
      </c>
      <c r="D57" s="28" t="n">
        <f aca="false">$I$21</f>
        <v>1</v>
      </c>
      <c r="E57" s="28" t="n">
        <f aca="false">$I$22</f>
        <v>0</v>
      </c>
      <c r="F57" s="28" t="e">
        <f aca="false">IF(OR(B57&gt;$I$21,B57&lt;$I$22),B57,NA())</f>
        <v>#N/A</v>
      </c>
      <c r="K57" s="9" t="s">
        <v>163</v>
      </c>
      <c r="L57" s="9" t="s">
        <v>164</v>
      </c>
      <c r="M57" s="9" t="s">
        <v>165</v>
      </c>
    </row>
    <row r="58" customFormat="false" ht="15" hidden="false" customHeight="true" outlineLevel="0" collapsed="false">
      <c r="A58" s="31" t="n">
        <f aca="false">P1_Data!A40</f>
        <v>34</v>
      </c>
      <c r="B58" s="28" t="n">
        <f aca="false">P1_Data!M40</f>
        <v>0</v>
      </c>
      <c r="C58" s="28" t="n">
        <f aca="false">$I$19</f>
        <v>0.361904761904762</v>
      </c>
      <c r="D58" s="28" t="n">
        <f aca="false">$I$21</f>
        <v>1</v>
      </c>
      <c r="E58" s="28" t="n">
        <f aca="false">$I$22</f>
        <v>0</v>
      </c>
      <c r="F58" s="28" t="e">
        <f aca="false">IF(OR(B58&gt;$I$21,B58&lt;$I$22),B58,NA())</f>
        <v>#N/A</v>
      </c>
      <c r="K58" s="11" t="s">
        <v>166</v>
      </c>
      <c r="L58" s="11" t="s">
        <v>167</v>
      </c>
      <c r="M58" s="11" t="str">
        <f aca="false">IF(COUNTIF(L9:L50,"&gt;"&amp;L3)&gt;0,"YES","No")</f>
        <v>YES</v>
      </c>
    </row>
    <row r="59" customFormat="false" ht="15" hidden="false" customHeight="true" outlineLevel="0" collapsed="false">
      <c r="A59" s="31" t="n">
        <f aca="false">P1_Data!A41</f>
        <v>35</v>
      </c>
      <c r="B59" s="28" t="n">
        <f aca="false">P1_Data!M41</f>
        <v>0</v>
      </c>
      <c r="C59" s="28" t="n">
        <f aca="false">$I$19</f>
        <v>0.361904761904762</v>
      </c>
      <c r="D59" s="28" t="n">
        <f aca="false">$I$21</f>
        <v>1</v>
      </c>
      <c r="E59" s="28" t="n">
        <f aca="false">$I$22</f>
        <v>0</v>
      </c>
      <c r="F59" s="28" t="e">
        <f aca="false">IF(OR(B59&gt;$I$21,B59&lt;$I$22),B59,NA())</f>
        <v>#N/A</v>
      </c>
      <c r="K59" s="11" t="s">
        <v>168</v>
      </c>
      <c r="L59" s="11" t="s">
        <v>169</v>
      </c>
      <c r="M59" s="11" t="str">
        <f aca="false">IF(SUMPRODUCT((L9:L50&gt;$L$5)*1)&gt;=2,"Check","No")</f>
        <v>Check</v>
      </c>
    </row>
    <row r="60" customFormat="false" ht="15" hidden="false" customHeight="true" outlineLevel="0" collapsed="false">
      <c r="A60" s="31" t="n">
        <f aca="false">P1_Data!A42</f>
        <v>36</v>
      </c>
      <c r="B60" s="28" t="n">
        <f aca="false">P1_Data!M42</f>
        <v>0</v>
      </c>
      <c r="C60" s="28" t="n">
        <f aca="false">$I$19</f>
        <v>0.361904761904762</v>
      </c>
      <c r="D60" s="28" t="n">
        <f aca="false">$I$21</f>
        <v>1</v>
      </c>
      <c r="E60" s="28" t="n">
        <f aca="false">$I$22</f>
        <v>0</v>
      </c>
      <c r="F60" s="28" t="e">
        <f aca="false">IF(OR(B60&gt;$I$21,B60&lt;$I$22),B60,NA())</f>
        <v>#N/A</v>
      </c>
      <c r="K60" s="11" t="s">
        <v>170</v>
      </c>
      <c r="L60" s="11" t="s">
        <v>171</v>
      </c>
      <c r="M60" s="11" t="s">
        <v>172</v>
      </c>
    </row>
    <row r="61" customFormat="false" ht="15" hidden="false" customHeight="true" outlineLevel="0" collapsed="false">
      <c r="A61" s="31" t="n">
        <f aca="false">P1_Data!A43</f>
        <v>37</v>
      </c>
      <c r="B61" s="28" t="n">
        <f aca="false">P1_Data!M43</f>
        <v>0</v>
      </c>
      <c r="C61" s="28" t="n">
        <f aca="false">$I$19</f>
        <v>0.361904761904762</v>
      </c>
      <c r="D61" s="28" t="n">
        <f aca="false">$I$21</f>
        <v>1</v>
      </c>
      <c r="E61" s="28" t="n">
        <f aca="false">$I$22</f>
        <v>0</v>
      </c>
      <c r="F61" s="28" t="e">
        <f aca="false">IF(OR(B61&gt;$I$21,B61&lt;$I$22),B61,NA())</f>
        <v>#N/A</v>
      </c>
      <c r="K61" s="11" t="s">
        <v>173</v>
      </c>
      <c r="L61" s="11" t="s">
        <v>174</v>
      </c>
      <c r="M61" s="11" t="str">
        <f aca="false">IF(MAX(FREQUENCY(IF(L9:L50&gt;L2,ROW(L9:L50)),IF(L9:L50&lt;=L2,ROW(L9:L50))))&gt;=8,"YES","No")</f>
        <v>YES</v>
      </c>
    </row>
    <row r="62" customFormat="false" ht="15" hidden="false" customHeight="true" outlineLevel="0" collapsed="false">
      <c r="A62" s="31" t="n">
        <f aca="false">P1_Data!A44</f>
        <v>38</v>
      </c>
      <c r="B62" s="28" t="n">
        <f aca="false">P1_Data!M44</f>
        <v>0.4</v>
      </c>
      <c r="C62" s="28" t="n">
        <f aca="false">$I$19</f>
        <v>0.361904761904762</v>
      </c>
      <c r="D62" s="28" t="n">
        <f aca="false">$I$21</f>
        <v>1</v>
      </c>
      <c r="E62" s="28" t="n">
        <f aca="false">$I$22</f>
        <v>0</v>
      </c>
      <c r="F62" s="28" t="e">
        <f aca="false">IF(OR(B62&gt;$I$21,B62&lt;$I$22),B62,NA())</f>
        <v>#N/A</v>
      </c>
    </row>
    <row r="63" customFormat="false" ht="15" hidden="false" customHeight="true" outlineLevel="0" collapsed="false">
      <c r="A63" s="31" t="n">
        <f aca="false">P1_Data!A45</f>
        <v>39</v>
      </c>
      <c r="B63" s="28" t="n">
        <f aca="false">P1_Data!M45</f>
        <v>0.8</v>
      </c>
      <c r="C63" s="28" t="n">
        <f aca="false">$I$19</f>
        <v>0.361904761904762</v>
      </c>
      <c r="D63" s="28" t="n">
        <f aca="false">$I$21</f>
        <v>1</v>
      </c>
      <c r="E63" s="28" t="n">
        <f aca="false">$I$22</f>
        <v>0</v>
      </c>
      <c r="F63" s="28" t="e">
        <f aca="false">IF(OR(B63&gt;$I$21,B63&lt;$I$22),B63,NA())</f>
        <v>#N/A</v>
      </c>
      <c r="K63" s="39" t="s">
        <v>175</v>
      </c>
      <c r="L63" s="39"/>
      <c r="M63" s="39"/>
      <c r="N63" s="39"/>
      <c r="O63" s="39"/>
    </row>
    <row r="64" customFormat="false" ht="15" hidden="false" customHeight="true" outlineLevel="0" collapsed="false">
      <c r="A64" s="31" t="n">
        <f aca="false">P1_Data!A46</f>
        <v>40</v>
      </c>
      <c r="B64" s="28" t="n">
        <f aca="false">P1_Data!M46</f>
        <v>0.2</v>
      </c>
      <c r="C64" s="28" t="n">
        <f aca="false">$I$19</f>
        <v>0.361904761904762</v>
      </c>
      <c r="D64" s="28" t="n">
        <f aca="false">$I$21</f>
        <v>1</v>
      </c>
      <c r="E64" s="28" t="n">
        <f aca="false">$I$22</f>
        <v>0</v>
      </c>
      <c r="F64" s="28" t="e">
        <f aca="false">IF(OR(B64&gt;$I$21,B64&lt;$I$22),B64,NA())</f>
        <v>#N/A</v>
      </c>
      <c r="K64" s="39"/>
      <c r="L64" s="39"/>
      <c r="M64" s="39"/>
      <c r="N64" s="39"/>
      <c r="O64" s="39"/>
    </row>
    <row r="65" customFormat="false" ht="15" hidden="false" customHeight="true" outlineLevel="0" collapsed="false">
      <c r="A65" s="31" t="n">
        <f aca="false">P1_Data!A47</f>
        <v>41</v>
      </c>
      <c r="B65" s="28" t="n">
        <f aca="false">P1_Data!M47</f>
        <v>0.6</v>
      </c>
      <c r="C65" s="28" t="n">
        <f aca="false">$I$19</f>
        <v>0.361904761904762</v>
      </c>
      <c r="D65" s="28" t="n">
        <f aca="false">$I$21</f>
        <v>1</v>
      </c>
      <c r="E65" s="28" t="n">
        <f aca="false">$I$22</f>
        <v>0</v>
      </c>
      <c r="F65" s="28" t="e">
        <f aca="false">IF(OR(B65&gt;$I$21,B65&lt;$I$22),B65,NA())</f>
        <v>#N/A</v>
      </c>
    </row>
    <row r="66" customFormat="false" ht="15" hidden="false" customHeight="true" outlineLevel="0" collapsed="false">
      <c r="A66" s="31" t="n">
        <f aca="false">P1_Data!A48</f>
        <v>42</v>
      </c>
      <c r="B66" s="28" t="n">
        <f aca="false">P1_Data!M48</f>
        <v>0.6</v>
      </c>
      <c r="C66" s="28" t="n">
        <f aca="false">$I$19</f>
        <v>0.361904761904762</v>
      </c>
      <c r="D66" s="28" t="n">
        <f aca="false">$I$21</f>
        <v>1</v>
      </c>
      <c r="E66" s="28" t="n">
        <f aca="false">$I$22</f>
        <v>0</v>
      </c>
      <c r="F66" s="28" t="e">
        <f aca="false">IF(OR(B66&gt;$I$21,B66&lt;$I$22),B66,NA())</f>
        <v>#N/A</v>
      </c>
    </row>
    <row r="88" customFormat="false" ht="15" hidden="false" customHeight="true" outlineLevel="0" collapsed="false">
      <c r="A88" s="6" t="s">
        <v>176</v>
      </c>
    </row>
    <row r="89" customFormat="false" ht="15" hidden="false" customHeight="true" outlineLevel="0" collapsed="false">
      <c r="A89" s="26" t="s">
        <v>177</v>
      </c>
      <c r="B89" s="28" t="n">
        <f aca="false">COUNT(P1_Data!A7:A48)</f>
        <v>42</v>
      </c>
    </row>
    <row r="90" customFormat="false" ht="15" hidden="false" customHeight="true" outlineLevel="0" collapsed="false">
      <c r="A90" s="26" t="s">
        <v>178</v>
      </c>
      <c r="B90" s="28" t="n">
        <f aca="false">AVERAGE(P1_Data!K7:K48)</f>
        <v>1.80952380952381</v>
      </c>
    </row>
    <row r="91" customFormat="false" ht="15" hidden="false" customHeight="true" outlineLevel="0" collapsed="false">
      <c r="A91" s="26" t="s">
        <v>179</v>
      </c>
      <c r="B91" s="28" t="n">
        <f aca="false">STDEV(P1_Data!K7:K48)</f>
        <v>1.48550878593087</v>
      </c>
    </row>
    <row r="92" customFormat="false" ht="15" hidden="false" customHeight="true" outlineLevel="0" collapsed="false">
      <c r="A92" s="26" t="s">
        <v>180</v>
      </c>
      <c r="B92" s="28" t="n">
        <f aca="false">MAX(B4:B45)</f>
        <v>0.8</v>
      </c>
    </row>
    <row r="93" customFormat="false" ht="15" hidden="false" customHeight="true" outlineLevel="0" collapsed="false">
      <c r="A93" s="26" t="s">
        <v>181</v>
      </c>
      <c r="B93" s="28" t="n">
        <f aca="false">MIN(B4:B45)</f>
        <v>0</v>
      </c>
    </row>
    <row r="94" customFormat="false" ht="15" hidden="false" customHeight="true" outlineLevel="0" collapsed="false">
      <c r="A94" s="26" t="s">
        <v>182</v>
      </c>
      <c r="B94" s="28" t="n">
        <f aca="false">I5</f>
        <v>0.361904761904762</v>
      </c>
    </row>
    <row r="95" customFormat="false" ht="15" hidden="false" customHeight="true" outlineLevel="0" collapsed="false">
      <c r="A95" s="26" t="s">
        <v>183</v>
      </c>
      <c r="B95" s="28" t="n">
        <f aca="false">I19</f>
        <v>0.361904761904762</v>
      </c>
    </row>
    <row r="97" customFormat="false" ht="15" hidden="false" customHeight="true" outlineLevel="0" collapsed="false">
      <c r="A97" s="8" t="s">
        <v>184</v>
      </c>
      <c r="B97" s="8"/>
      <c r="C97" s="8"/>
      <c r="D97" s="8"/>
      <c r="E97" s="8"/>
      <c r="F97" s="8"/>
      <c r="G97" s="8"/>
      <c r="H97" s="8"/>
      <c r="I97" s="8"/>
    </row>
    <row r="98" customFormat="false" ht="15" hidden="false" customHeight="true" outlineLevel="0" collapsed="false">
      <c r="A98" s="8"/>
      <c r="B98" s="8"/>
      <c r="C98" s="8"/>
      <c r="D98" s="8"/>
      <c r="E98" s="8"/>
      <c r="F98" s="8"/>
      <c r="G98" s="8"/>
      <c r="H98" s="8"/>
      <c r="I98" s="8"/>
    </row>
    <row r="99" customFormat="false" ht="15" hidden="false" customHeight="true" outlineLevel="0" collapsed="false">
      <c r="A99" s="8"/>
      <c r="B99" s="8"/>
      <c r="C99" s="8"/>
      <c r="D99" s="8"/>
      <c r="E99" s="8"/>
      <c r="F99" s="8"/>
      <c r="G99" s="8"/>
      <c r="H99" s="8"/>
      <c r="I99" s="8"/>
    </row>
    <row r="100" customFormat="false" ht="15" hidden="false" customHeight="true" outlineLevel="0" collapsed="false">
      <c r="A100" s="8"/>
      <c r="B100" s="8"/>
      <c r="C100" s="8"/>
      <c r="D100" s="8"/>
      <c r="E100" s="8"/>
      <c r="F100" s="8"/>
      <c r="G100" s="8"/>
      <c r="H100" s="8"/>
      <c r="I100" s="8"/>
    </row>
    <row r="101" customFormat="false" ht="15" hidden="false" customHeight="true" outlineLevel="0" collapsed="false">
      <c r="A101" s="8"/>
      <c r="B101" s="8"/>
      <c r="C101" s="8"/>
      <c r="D101" s="8"/>
      <c r="E101" s="8"/>
      <c r="F101" s="8"/>
      <c r="G101" s="8"/>
      <c r="H101" s="8"/>
      <c r="I101" s="8"/>
    </row>
    <row r="102" customFormat="false" ht="15" hidden="false" customHeight="true" outlineLevel="0" collapsed="false">
      <c r="A102" s="8"/>
      <c r="B102" s="8"/>
      <c r="C102" s="8"/>
      <c r="D102" s="8"/>
      <c r="E102" s="8"/>
      <c r="F102" s="8"/>
      <c r="G102" s="8"/>
      <c r="H102" s="8"/>
      <c r="I102" s="8"/>
    </row>
    <row r="103" customFormat="false" ht="15" hidden="false" customHeight="true" outlineLevel="0" collapsed="false">
      <c r="A103" s="8"/>
      <c r="B103" s="8"/>
      <c r="C103" s="8"/>
      <c r="D103" s="8"/>
      <c r="E103" s="8"/>
      <c r="F103" s="8"/>
      <c r="G103" s="8"/>
      <c r="H103" s="8"/>
      <c r="I103" s="8"/>
    </row>
    <row r="104" customFormat="false" ht="15" hidden="false" customHeight="true" outlineLevel="0" collapsed="false">
      <c r="A104" s="8"/>
      <c r="B104" s="8"/>
      <c r="C104" s="8"/>
      <c r="D104" s="8"/>
      <c r="E104" s="8"/>
      <c r="F104" s="8"/>
      <c r="G104" s="8"/>
      <c r="H104" s="8"/>
      <c r="I104" s="8"/>
    </row>
    <row r="106" customFormat="false" ht="15" hidden="false" customHeight="true" outlineLevel="0" collapsed="false">
      <c r="A106" s="40" t="s">
        <v>185</v>
      </c>
      <c r="B106" s="40"/>
      <c r="C106" s="40"/>
      <c r="D106" s="40"/>
      <c r="E106" s="40"/>
      <c r="F106" s="40"/>
      <c r="G106" s="40"/>
      <c r="H106" s="40"/>
      <c r="I106" s="40"/>
    </row>
    <row r="107" customFormat="false" ht="15" hidden="false" customHeight="true" outlineLevel="0" collapsed="false">
      <c r="A107" s="40"/>
      <c r="B107" s="40"/>
      <c r="C107" s="40"/>
      <c r="D107" s="40"/>
      <c r="E107" s="40"/>
      <c r="F107" s="40"/>
      <c r="G107" s="40"/>
      <c r="H107" s="40"/>
      <c r="I107" s="40"/>
    </row>
    <row r="108" customFormat="false" ht="15" hidden="false" customHeight="true" outlineLevel="0" collapsed="false">
      <c r="A108" s="40"/>
      <c r="B108" s="40"/>
      <c r="C108" s="40"/>
      <c r="D108" s="40"/>
      <c r="E108" s="40"/>
      <c r="F108" s="40"/>
      <c r="G108" s="40"/>
      <c r="H108" s="40"/>
      <c r="I108" s="40"/>
    </row>
    <row r="109" customFormat="false" ht="15" hidden="false" customHeight="true" outlineLevel="0" collapsed="false">
      <c r="A109" s="40"/>
      <c r="B109" s="40"/>
      <c r="C109" s="40"/>
      <c r="D109" s="40"/>
      <c r="E109" s="40"/>
      <c r="F109" s="40"/>
      <c r="G109" s="40"/>
      <c r="H109" s="40"/>
      <c r="I109" s="40"/>
    </row>
    <row r="110" customFormat="false" ht="15" hidden="false" customHeight="true" outlineLevel="0" collapsed="false">
      <c r="A110" s="40"/>
      <c r="B110" s="40"/>
      <c r="C110" s="40"/>
      <c r="D110" s="40"/>
      <c r="E110" s="40"/>
      <c r="F110" s="40"/>
      <c r="G110" s="40"/>
      <c r="H110" s="40"/>
      <c r="I110" s="40"/>
    </row>
    <row r="111" customFormat="false" ht="15" hidden="false" customHeight="true" outlineLevel="0" collapsed="false">
      <c r="A111" s="40"/>
      <c r="B111" s="40"/>
      <c r="C111" s="40"/>
      <c r="D111" s="40"/>
      <c r="E111" s="40"/>
      <c r="F111" s="40"/>
      <c r="G111" s="40"/>
      <c r="H111" s="40"/>
      <c r="I111" s="40"/>
    </row>
    <row r="112" customFormat="false" ht="15" hidden="false" customHeight="true" outlineLevel="0" collapsed="false">
      <c r="A112" s="40"/>
      <c r="B112" s="40"/>
      <c r="C112" s="40"/>
      <c r="D112" s="40"/>
      <c r="E112" s="40"/>
      <c r="F112" s="40"/>
      <c r="G112" s="40"/>
      <c r="H112" s="40"/>
      <c r="I112" s="40"/>
    </row>
    <row r="113" customFormat="false" ht="15" hidden="false" customHeight="true" outlineLevel="0" collapsed="false">
      <c r="A113" s="6" t="s">
        <v>186</v>
      </c>
    </row>
    <row r="114" customFormat="false" ht="113.25" hidden="false" customHeight="true" outlineLevel="0" collapsed="false">
      <c r="A114" s="29" t="s">
        <v>187</v>
      </c>
      <c r="B114" s="29" t="s">
        <v>188</v>
      </c>
      <c r="C114" s="29" t="s">
        <v>189</v>
      </c>
      <c r="D114" s="29" t="s">
        <v>190</v>
      </c>
      <c r="E114" s="29" t="s">
        <v>191</v>
      </c>
      <c r="F114" s="29" t="s">
        <v>192</v>
      </c>
      <c r="G114" s="29" t="s">
        <v>193</v>
      </c>
    </row>
    <row r="115" customFormat="false" ht="191.25" hidden="false" customHeight="true" outlineLevel="0" collapsed="false">
      <c r="A115" s="11" t="s">
        <v>194</v>
      </c>
      <c r="B115" s="11" t="s">
        <v>195</v>
      </c>
      <c r="C115" s="11" t="s">
        <v>109</v>
      </c>
      <c r="D115" s="11" t="s">
        <v>196</v>
      </c>
      <c r="E115" s="11" t="s">
        <v>197</v>
      </c>
      <c r="F115" s="11" t="s">
        <v>198</v>
      </c>
      <c r="G115" s="11" t="s">
        <v>199</v>
      </c>
    </row>
    <row r="116" customFormat="false" ht="135.75" hidden="false" customHeight="true" outlineLevel="0" collapsed="false">
      <c r="A116" s="11" t="s">
        <v>200</v>
      </c>
      <c r="B116" s="11" t="s">
        <v>201</v>
      </c>
      <c r="C116" s="11" t="s">
        <v>202</v>
      </c>
      <c r="D116" s="11" t="s">
        <v>203</v>
      </c>
      <c r="E116" s="11" t="s">
        <v>197</v>
      </c>
      <c r="F116" s="11" t="s">
        <v>204</v>
      </c>
      <c r="G116" s="11" t="s">
        <v>205</v>
      </c>
    </row>
    <row r="117" customFormat="false" ht="68.25" hidden="false" customHeight="true" outlineLevel="0" collapsed="false">
      <c r="A117" s="11" t="s">
        <v>206</v>
      </c>
      <c r="B117" s="11" t="s">
        <v>201</v>
      </c>
      <c r="C117" s="11" t="s">
        <v>207</v>
      </c>
      <c r="D117" s="11" t="s">
        <v>208</v>
      </c>
      <c r="E117" s="11" t="s">
        <v>197</v>
      </c>
      <c r="F117" s="11" t="s">
        <v>209</v>
      </c>
      <c r="G117" s="11" t="s">
        <v>210</v>
      </c>
    </row>
    <row r="118" customFormat="false" ht="147" hidden="false" customHeight="true" outlineLevel="0" collapsed="false">
      <c r="A118" s="11" t="s">
        <v>211</v>
      </c>
      <c r="B118" s="11" t="s">
        <v>212</v>
      </c>
      <c r="C118" s="11" t="s">
        <v>213</v>
      </c>
      <c r="D118" s="11" t="s">
        <v>214</v>
      </c>
      <c r="E118" s="11" t="s">
        <v>197</v>
      </c>
      <c r="F118" s="11" t="s">
        <v>215</v>
      </c>
      <c r="G118" s="11" t="s">
        <v>216</v>
      </c>
    </row>
    <row r="119" customFormat="false" ht="90.75" hidden="false" customHeight="true" outlineLevel="0" collapsed="false">
      <c r="A119" s="11" t="s">
        <v>105</v>
      </c>
      <c r="B119" s="11" t="s">
        <v>217</v>
      </c>
      <c r="C119" s="11" t="s">
        <v>218</v>
      </c>
      <c r="D119" s="11" t="s">
        <v>219</v>
      </c>
      <c r="E119" s="11" t="s">
        <v>220</v>
      </c>
      <c r="F119" s="11" t="s">
        <v>221</v>
      </c>
      <c r="G119" s="11" t="s">
        <v>222</v>
      </c>
    </row>
    <row r="121" customFormat="false" ht="15" hidden="false" customHeight="true" outlineLevel="0" collapsed="false">
      <c r="A121" s="8" t="s">
        <v>223</v>
      </c>
      <c r="B121" s="8"/>
      <c r="C121" s="8"/>
      <c r="D121" s="8"/>
      <c r="E121" s="8"/>
      <c r="F121" s="8"/>
      <c r="G121" s="8"/>
      <c r="H121" s="8"/>
      <c r="I121" s="8"/>
    </row>
    <row r="122" customFormat="false" ht="15" hidden="false" customHeight="true" outlineLevel="0" collapsed="false">
      <c r="A122" s="8"/>
      <c r="B122" s="8"/>
      <c r="C122" s="8"/>
      <c r="D122" s="8"/>
      <c r="E122" s="8"/>
      <c r="F122" s="8"/>
      <c r="G122" s="8"/>
      <c r="H122" s="8"/>
      <c r="I122" s="8"/>
    </row>
    <row r="123" customFormat="false" ht="15" hidden="false" customHeight="true" outlineLevel="0" collapsed="false">
      <c r="A123" s="8"/>
      <c r="B123" s="8"/>
      <c r="C123" s="8"/>
      <c r="D123" s="8"/>
      <c r="E123" s="8"/>
      <c r="F123" s="8"/>
      <c r="G123" s="8"/>
      <c r="H123" s="8"/>
      <c r="I123" s="8"/>
    </row>
    <row r="124" customFormat="false" ht="15" hidden="false" customHeight="true" outlineLevel="0" collapsed="false">
      <c r="A124" s="8"/>
      <c r="B124" s="8"/>
      <c r="C124" s="8"/>
      <c r="D124" s="8"/>
      <c r="E124" s="8"/>
      <c r="F124" s="8"/>
      <c r="G124" s="8"/>
      <c r="H124" s="8"/>
      <c r="I124" s="8"/>
    </row>
    <row r="125" customFormat="false" ht="15" hidden="false" customHeight="true" outlineLevel="0" collapsed="false">
      <c r="A125" s="8"/>
      <c r="B125" s="8"/>
      <c r="C125" s="8"/>
      <c r="D125" s="8"/>
      <c r="E125" s="8"/>
      <c r="F125" s="8"/>
      <c r="G125" s="8"/>
      <c r="H125" s="8"/>
      <c r="I125" s="8"/>
    </row>
  </sheetData>
  <mergeCells count="4">
    <mergeCell ref="K63:O64"/>
    <mergeCell ref="A97:I104"/>
    <mergeCell ref="A106:I112"/>
    <mergeCell ref="A121:I1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7"/>
    <col collapsed="false" customWidth="true" hidden="false" outlineLevel="0" max="4" min="4" style="1" width="8"/>
    <col collapsed="false" customWidth="true" hidden="false" outlineLevel="0" max="5" min="5" style="1" width="9"/>
    <col collapsed="false" customWidth="true" hidden="false" outlineLevel="0" max="8" min="6" style="1" width="12"/>
    <col collapsed="false" customWidth="true" hidden="false" outlineLevel="0" max="9" min="9" style="1" width="14"/>
    <col collapsed="false" customWidth="true" hidden="false" outlineLevel="0" max="10" min="10" style="1" width="9"/>
    <col collapsed="false" customWidth="true" hidden="false" outlineLevel="0" max="11" min="11" style="1" width="11"/>
    <col collapsed="false" customWidth="true" hidden="false" outlineLevel="0" max="13" min="12" style="1" width="12"/>
    <col collapsed="false" customWidth="true" hidden="false" outlineLevel="0" max="14" min="14" style="1" width="7"/>
    <col collapsed="false" customWidth="true" hidden="false" outlineLevel="0" max="15" min="15" style="1" width="9"/>
    <col collapsed="false" customWidth="true" hidden="false" outlineLevel="0" max="16" min="16" style="1" width="22"/>
    <col collapsed="false" customWidth="true" hidden="false" outlineLevel="0" max="17" min="17" style="1" width="32"/>
    <col collapsed="false" customWidth="true" hidden="false" outlineLevel="0" max="18" min="18" style="1" width="20"/>
    <col collapsed="false" customWidth="true" hidden="false" outlineLevel="0" max="19" min="19" style="1" width="18"/>
  </cols>
  <sheetData>
    <row r="1" customFormat="false" ht="15.75" hidden="false" customHeight="true" outlineLevel="0" collapsed="false">
      <c r="A1" s="13" t="s">
        <v>224</v>
      </c>
    </row>
    <row r="2" customFormat="false" ht="15" hidden="false" customHeight="true" outlineLevel="0" collapsed="false">
      <c r="A2" s="14" t="s">
        <v>225</v>
      </c>
      <c r="B2" s="14"/>
      <c r="C2" s="14"/>
      <c r="D2" s="14"/>
      <c r="E2" s="14"/>
      <c r="F2" s="14"/>
      <c r="G2" s="14"/>
      <c r="H2" s="14"/>
      <c r="I2" s="14"/>
      <c r="J2" s="14"/>
      <c r="K2" s="14"/>
      <c r="L2" s="14"/>
      <c r="M2" s="14"/>
      <c r="N2" s="14"/>
      <c r="O2" s="14"/>
      <c r="P2" s="14"/>
      <c r="Q2" s="14"/>
      <c r="R2" s="14"/>
      <c r="S2" s="14"/>
    </row>
    <row r="3" customFormat="false" ht="15" hidden="false" customHeight="true" outlineLevel="0" collapsed="false">
      <c r="A3" s="14"/>
      <c r="B3" s="14"/>
      <c r="C3" s="14"/>
      <c r="D3" s="14"/>
      <c r="E3" s="14"/>
      <c r="F3" s="14"/>
      <c r="G3" s="14"/>
      <c r="H3" s="14"/>
      <c r="I3" s="14"/>
      <c r="J3" s="14"/>
      <c r="K3" s="14"/>
      <c r="L3" s="14"/>
      <c r="M3" s="14"/>
      <c r="N3" s="14"/>
      <c r="O3" s="14"/>
      <c r="P3" s="14"/>
      <c r="Q3" s="14"/>
      <c r="R3" s="14"/>
      <c r="S3" s="14"/>
    </row>
    <row r="4" customFormat="false" ht="15" hidden="false" customHeight="true" outlineLevel="0" collapsed="false">
      <c r="A4" s="14"/>
      <c r="B4" s="14"/>
      <c r="C4" s="14"/>
      <c r="D4" s="14"/>
      <c r="E4" s="14"/>
      <c r="F4" s="14"/>
      <c r="G4" s="14"/>
      <c r="H4" s="14"/>
      <c r="I4" s="14"/>
      <c r="J4" s="14"/>
      <c r="K4" s="14"/>
      <c r="L4" s="14"/>
      <c r="M4" s="14"/>
      <c r="N4" s="14"/>
      <c r="O4" s="14"/>
      <c r="P4" s="14"/>
      <c r="Q4" s="14"/>
      <c r="R4" s="14"/>
      <c r="S4" s="14"/>
    </row>
    <row r="6" customFormat="false" ht="42.75" hidden="false" customHeight="true" outlineLevel="0" collapsed="false">
      <c r="A6" s="15" t="s">
        <v>226</v>
      </c>
      <c r="B6" s="15" t="s">
        <v>73</v>
      </c>
      <c r="C6" s="15" t="s">
        <v>74</v>
      </c>
      <c r="D6" s="15" t="s">
        <v>75</v>
      </c>
      <c r="E6" s="15" t="s">
        <v>227</v>
      </c>
      <c r="F6" s="15" t="s">
        <v>228</v>
      </c>
      <c r="G6" s="15" t="s">
        <v>229</v>
      </c>
      <c r="H6" s="15" t="s">
        <v>230</v>
      </c>
      <c r="I6" s="15" t="s">
        <v>231</v>
      </c>
      <c r="J6" s="15" t="s">
        <v>232</v>
      </c>
      <c r="K6" s="15" t="s">
        <v>233</v>
      </c>
      <c r="L6" s="15" t="s">
        <v>234</v>
      </c>
      <c r="M6" s="15" t="s">
        <v>235</v>
      </c>
      <c r="N6" s="15" t="s">
        <v>236</v>
      </c>
      <c r="O6" s="15" t="s">
        <v>91</v>
      </c>
      <c r="P6" s="15" t="s">
        <v>92</v>
      </c>
      <c r="Q6" s="15" t="s">
        <v>93</v>
      </c>
      <c r="R6" s="15" t="s">
        <v>94</v>
      </c>
      <c r="S6" s="15" t="s">
        <v>95</v>
      </c>
    </row>
    <row r="7" customFormat="false" ht="15" hidden="false" customHeight="true" outlineLevel="0" collapsed="false">
      <c r="A7" s="16" t="n">
        <v>1</v>
      </c>
      <c r="B7" s="17" t="s">
        <v>237</v>
      </c>
      <c r="C7" s="16" t="s">
        <v>97</v>
      </c>
      <c r="D7" s="18" t="s">
        <v>98</v>
      </c>
      <c r="E7" s="18" t="s">
        <v>238</v>
      </c>
      <c r="F7" s="18" t="s">
        <v>239</v>
      </c>
      <c r="G7" s="18" t="s">
        <v>101</v>
      </c>
      <c r="H7" s="17" t="n">
        <v>4</v>
      </c>
      <c r="I7" s="16" t="n">
        <f aca="false">H7+J7</f>
        <v>5</v>
      </c>
      <c r="J7" s="17" t="n">
        <v>1</v>
      </c>
      <c r="K7" s="16" t="n">
        <v>1</v>
      </c>
      <c r="L7" s="16" t="n">
        <v>0</v>
      </c>
      <c r="M7" s="16" t="n">
        <f aca="false">I7</f>
        <v>5</v>
      </c>
      <c r="N7" s="19" t="n">
        <f aca="false">J7/M7</f>
        <v>0.2</v>
      </c>
      <c r="O7" s="16" t="n">
        <v>0</v>
      </c>
      <c r="P7" s="18" t="s">
        <v>105</v>
      </c>
      <c r="Q7" s="18" t="s">
        <v>240</v>
      </c>
      <c r="R7" s="16" t="s">
        <v>241</v>
      </c>
      <c r="S7" s="16" t="s">
        <v>242</v>
      </c>
    </row>
    <row r="8" customFormat="false" ht="15" hidden="false" customHeight="true" outlineLevel="0" collapsed="false">
      <c r="A8" s="16" t="n">
        <v>2</v>
      </c>
      <c r="B8" s="17" t="s">
        <v>237</v>
      </c>
      <c r="C8" s="16" t="s">
        <v>97</v>
      </c>
      <c r="D8" s="18" t="s">
        <v>98</v>
      </c>
      <c r="E8" s="18" t="s">
        <v>243</v>
      </c>
      <c r="F8" s="18" t="s">
        <v>244</v>
      </c>
      <c r="G8" s="18" t="s">
        <v>126</v>
      </c>
      <c r="H8" s="17" t="n">
        <v>3</v>
      </c>
      <c r="I8" s="16" t="n">
        <f aca="false">H8+J8</f>
        <v>4</v>
      </c>
      <c r="J8" s="17" t="n">
        <v>1</v>
      </c>
      <c r="K8" s="16" t="n">
        <v>1</v>
      </c>
      <c r="L8" s="16" t="n">
        <v>0</v>
      </c>
      <c r="M8" s="16" t="n">
        <f aca="false">I8</f>
        <v>4</v>
      </c>
      <c r="N8" s="19" t="n">
        <f aca="false">J8/M8</f>
        <v>0.25</v>
      </c>
      <c r="O8" s="20" t="n">
        <v>1</v>
      </c>
      <c r="P8" s="20" t="s">
        <v>245</v>
      </c>
      <c r="Q8" s="18" t="s">
        <v>246</v>
      </c>
      <c r="R8" s="16" t="s">
        <v>247</v>
      </c>
      <c r="S8" s="16" t="s">
        <v>242</v>
      </c>
    </row>
    <row r="9" customFormat="false" ht="15" hidden="false" customHeight="true" outlineLevel="0" collapsed="false">
      <c r="A9" s="16" t="n">
        <v>3</v>
      </c>
      <c r="B9" s="17" t="s">
        <v>237</v>
      </c>
      <c r="C9" s="16" t="s">
        <v>97</v>
      </c>
      <c r="D9" s="18" t="s">
        <v>98</v>
      </c>
      <c r="E9" s="18" t="s">
        <v>243</v>
      </c>
      <c r="F9" s="18" t="s">
        <v>244</v>
      </c>
      <c r="G9" s="18" t="s">
        <v>126</v>
      </c>
      <c r="H9" s="17" t="n">
        <v>3</v>
      </c>
      <c r="I9" s="16" t="n">
        <f aca="false">H9+J9</f>
        <v>4</v>
      </c>
      <c r="J9" s="17" t="n">
        <v>1</v>
      </c>
      <c r="K9" s="16" t="n">
        <v>1</v>
      </c>
      <c r="L9" s="16" t="n">
        <v>0</v>
      </c>
      <c r="M9" s="16" t="n">
        <f aca="false">I9</f>
        <v>4</v>
      </c>
      <c r="N9" s="19" t="n">
        <f aca="false">J9/M9</f>
        <v>0.25</v>
      </c>
      <c r="O9" s="20" t="n">
        <v>1</v>
      </c>
      <c r="P9" s="20" t="s">
        <v>245</v>
      </c>
      <c r="Q9" s="18" t="s">
        <v>246</v>
      </c>
      <c r="R9" s="16" t="s">
        <v>247</v>
      </c>
      <c r="S9" s="16" t="s">
        <v>242</v>
      </c>
    </row>
    <row r="10" customFormat="false" ht="15" hidden="false" customHeight="true" outlineLevel="0" collapsed="false">
      <c r="A10" s="16" t="n">
        <v>4</v>
      </c>
      <c r="B10" s="17" t="s">
        <v>237</v>
      </c>
      <c r="C10" s="16" t="s">
        <v>97</v>
      </c>
      <c r="D10" s="18" t="s">
        <v>98</v>
      </c>
      <c r="E10" s="18" t="s">
        <v>243</v>
      </c>
      <c r="F10" s="18" t="s">
        <v>244</v>
      </c>
      <c r="G10" s="18" t="s">
        <v>126</v>
      </c>
      <c r="H10" s="17" t="n">
        <v>3</v>
      </c>
      <c r="I10" s="16" t="n">
        <f aca="false">H10+J10</f>
        <v>4</v>
      </c>
      <c r="J10" s="17" t="n">
        <v>1</v>
      </c>
      <c r="K10" s="16" t="n">
        <v>1</v>
      </c>
      <c r="L10" s="16" t="n">
        <v>0</v>
      </c>
      <c r="M10" s="16" t="n">
        <f aca="false">I10</f>
        <v>4</v>
      </c>
      <c r="N10" s="19" t="n">
        <f aca="false">J10/M10</f>
        <v>0.25</v>
      </c>
      <c r="O10" s="20" t="n">
        <v>1</v>
      </c>
      <c r="P10" s="20" t="s">
        <v>245</v>
      </c>
      <c r="Q10" s="18" t="s">
        <v>246</v>
      </c>
      <c r="R10" s="16" t="s">
        <v>247</v>
      </c>
      <c r="S10" s="16" t="s">
        <v>242</v>
      </c>
    </row>
    <row r="11" customFormat="false" ht="15" hidden="false" customHeight="true" outlineLevel="0" collapsed="false">
      <c r="A11" s="16" t="n">
        <v>5</v>
      </c>
      <c r="B11" s="17" t="s">
        <v>237</v>
      </c>
      <c r="C11" s="16" t="s">
        <v>97</v>
      </c>
      <c r="D11" s="18" t="s">
        <v>98</v>
      </c>
      <c r="E11" s="18" t="s">
        <v>238</v>
      </c>
      <c r="F11" s="18" t="s">
        <v>239</v>
      </c>
      <c r="G11" s="18" t="s">
        <v>101</v>
      </c>
      <c r="H11" s="17" t="n">
        <v>4</v>
      </c>
      <c r="I11" s="16" t="n">
        <f aca="false">H11+J11</f>
        <v>5</v>
      </c>
      <c r="J11" s="17" t="n">
        <v>1</v>
      </c>
      <c r="K11" s="16" t="n">
        <v>1</v>
      </c>
      <c r="L11" s="16" t="n">
        <v>0</v>
      </c>
      <c r="M11" s="16" t="n">
        <f aca="false">I11</f>
        <v>5</v>
      </c>
      <c r="N11" s="19" t="n">
        <f aca="false">J11/M11</f>
        <v>0.2</v>
      </c>
      <c r="O11" s="16" t="n">
        <v>0</v>
      </c>
      <c r="P11" s="18" t="s">
        <v>105</v>
      </c>
      <c r="Q11" s="18" t="s">
        <v>240</v>
      </c>
      <c r="R11" s="16" t="s">
        <v>241</v>
      </c>
      <c r="S11" s="16" t="s">
        <v>242</v>
      </c>
    </row>
    <row r="12" customFormat="false" ht="15" hidden="false" customHeight="true" outlineLevel="0" collapsed="false">
      <c r="A12" s="16" t="n">
        <v>6</v>
      </c>
      <c r="B12" s="17" t="s">
        <v>237</v>
      </c>
      <c r="C12" s="16" t="s">
        <v>97</v>
      </c>
      <c r="D12" s="18" t="s">
        <v>98</v>
      </c>
      <c r="E12" s="18" t="s">
        <v>243</v>
      </c>
      <c r="F12" s="18" t="s">
        <v>244</v>
      </c>
      <c r="G12" s="18" t="s">
        <v>126</v>
      </c>
      <c r="H12" s="17" t="n">
        <v>3</v>
      </c>
      <c r="I12" s="16" t="n">
        <f aca="false">H12+J12</f>
        <v>4</v>
      </c>
      <c r="J12" s="17" t="n">
        <v>1</v>
      </c>
      <c r="K12" s="16" t="n">
        <v>1</v>
      </c>
      <c r="L12" s="16" t="n">
        <v>0</v>
      </c>
      <c r="M12" s="16" t="n">
        <f aca="false">I12</f>
        <v>4</v>
      </c>
      <c r="N12" s="19" t="n">
        <f aca="false">J12/M12</f>
        <v>0.25</v>
      </c>
      <c r="O12" s="20" t="n">
        <v>1</v>
      </c>
      <c r="P12" s="20" t="s">
        <v>245</v>
      </c>
      <c r="Q12" s="18" t="s">
        <v>246</v>
      </c>
      <c r="R12" s="16" t="s">
        <v>247</v>
      </c>
      <c r="S12" s="16" t="s">
        <v>242</v>
      </c>
    </row>
    <row r="13" customFormat="false" ht="15" hidden="false" customHeight="true" outlineLevel="0" collapsed="false">
      <c r="A13" s="16" t="n">
        <v>7</v>
      </c>
      <c r="B13" s="17" t="s">
        <v>237</v>
      </c>
      <c r="C13" s="16" t="s">
        <v>97</v>
      </c>
      <c r="D13" s="18" t="s">
        <v>98</v>
      </c>
      <c r="E13" s="18" t="s">
        <v>248</v>
      </c>
      <c r="F13" s="18" t="s">
        <v>249</v>
      </c>
      <c r="G13" s="18" t="s">
        <v>121</v>
      </c>
      <c r="H13" s="17" t="n">
        <v>6</v>
      </c>
      <c r="I13" s="16" t="n">
        <f aca="false">H13+J13</f>
        <v>7</v>
      </c>
      <c r="J13" s="17" t="n">
        <v>1</v>
      </c>
      <c r="K13" s="16" t="n">
        <v>1</v>
      </c>
      <c r="L13" s="16" t="n">
        <v>0</v>
      </c>
      <c r="M13" s="16" t="n">
        <f aca="false">I13</f>
        <v>7</v>
      </c>
      <c r="N13" s="19" t="n">
        <f aca="false">J13/M13</f>
        <v>0.142857142857143</v>
      </c>
      <c r="O13" s="16" t="n">
        <v>0</v>
      </c>
      <c r="P13" s="18" t="s">
        <v>105</v>
      </c>
      <c r="Q13" s="18" t="s">
        <v>240</v>
      </c>
      <c r="R13" s="16" t="s">
        <v>241</v>
      </c>
      <c r="S13" s="16" t="s">
        <v>242</v>
      </c>
    </row>
    <row r="14" customFormat="false" ht="15" hidden="false" customHeight="true" outlineLevel="0" collapsed="false">
      <c r="A14" s="16" t="n">
        <v>8</v>
      </c>
      <c r="B14" s="17" t="s">
        <v>237</v>
      </c>
      <c r="C14" s="16" t="s">
        <v>97</v>
      </c>
      <c r="D14" s="18" t="s">
        <v>98</v>
      </c>
      <c r="E14" s="18" t="s">
        <v>250</v>
      </c>
      <c r="F14" s="18" t="s">
        <v>251</v>
      </c>
      <c r="G14" s="18" t="s">
        <v>112</v>
      </c>
      <c r="H14" s="17" t="n">
        <v>5</v>
      </c>
      <c r="I14" s="16" t="n">
        <f aca="false">H14+J14</f>
        <v>6</v>
      </c>
      <c r="J14" s="17" t="n">
        <v>1</v>
      </c>
      <c r="K14" s="16" t="n">
        <v>1</v>
      </c>
      <c r="L14" s="16" t="n">
        <v>0</v>
      </c>
      <c r="M14" s="16" t="n">
        <f aca="false">I14</f>
        <v>6</v>
      </c>
      <c r="N14" s="19" t="n">
        <f aca="false">J14/M14</f>
        <v>0.166666666666667</v>
      </c>
      <c r="O14" s="16" t="n">
        <v>0</v>
      </c>
      <c r="P14" s="18" t="s">
        <v>105</v>
      </c>
      <c r="Q14" s="18" t="s">
        <v>240</v>
      </c>
      <c r="R14" s="16" t="s">
        <v>241</v>
      </c>
      <c r="S14" s="16" t="s">
        <v>242</v>
      </c>
    </row>
    <row r="15" customFormat="false" ht="15" hidden="false" customHeight="true" outlineLevel="0" collapsed="false">
      <c r="A15" s="16" t="n">
        <v>9</v>
      </c>
      <c r="B15" s="17" t="s">
        <v>237</v>
      </c>
      <c r="C15" s="16" t="s">
        <v>97</v>
      </c>
      <c r="D15" s="18" t="s">
        <v>98</v>
      </c>
      <c r="E15" s="18" t="s">
        <v>238</v>
      </c>
      <c r="F15" s="18" t="s">
        <v>239</v>
      </c>
      <c r="G15" s="18" t="s">
        <v>101</v>
      </c>
      <c r="H15" s="17" t="n">
        <v>4</v>
      </c>
      <c r="I15" s="16" t="n">
        <f aca="false">H15+J15</f>
        <v>5</v>
      </c>
      <c r="J15" s="17" t="n">
        <v>1</v>
      </c>
      <c r="K15" s="16" t="n">
        <v>1</v>
      </c>
      <c r="L15" s="16" t="n">
        <v>0</v>
      </c>
      <c r="M15" s="16" t="n">
        <f aca="false">I15</f>
        <v>5</v>
      </c>
      <c r="N15" s="19" t="n">
        <f aca="false">J15/M15</f>
        <v>0.2</v>
      </c>
      <c r="O15" s="16" t="n">
        <v>0</v>
      </c>
      <c r="P15" s="18" t="s">
        <v>105</v>
      </c>
      <c r="Q15" s="18" t="s">
        <v>240</v>
      </c>
      <c r="R15" s="16" t="s">
        <v>241</v>
      </c>
      <c r="S15" s="16" t="s">
        <v>242</v>
      </c>
    </row>
    <row r="16" customFormat="false" ht="15" hidden="false" customHeight="true" outlineLevel="0" collapsed="false">
      <c r="A16" s="16" t="n">
        <v>10</v>
      </c>
      <c r="B16" s="17" t="s">
        <v>237</v>
      </c>
      <c r="C16" s="16" t="s">
        <v>97</v>
      </c>
      <c r="D16" s="18" t="s">
        <v>98</v>
      </c>
      <c r="E16" s="18" t="s">
        <v>238</v>
      </c>
      <c r="F16" s="18" t="s">
        <v>239</v>
      </c>
      <c r="G16" s="18" t="s">
        <v>101</v>
      </c>
      <c r="H16" s="17" t="n">
        <v>4</v>
      </c>
      <c r="I16" s="16" t="n">
        <f aca="false">H16+J16</f>
        <v>5</v>
      </c>
      <c r="J16" s="17" t="n">
        <v>1</v>
      </c>
      <c r="K16" s="16" t="n">
        <v>1</v>
      </c>
      <c r="L16" s="16" t="n">
        <v>0</v>
      </c>
      <c r="M16" s="16" t="n">
        <f aca="false">I16</f>
        <v>5</v>
      </c>
      <c r="N16" s="19" t="n">
        <f aca="false">J16/M16</f>
        <v>0.2</v>
      </c>
      <c r="O16" s="16" t="n">
        <v>0</v>
      </c>
      <c r="P16" s="18" t="s">
        <v>105</v>
      </c>
      <c r="Q16" s="18" t="s">
        <v>240</v>
      </c>
      <c r="R16" s="16" t="s">
        <v>241</v>
      </c>
      <c r="S16" s="16" t="s">
        <v>242</v>
      </c>
    </row>
    <row r="17" customFormat="false" ht="15" hidden="false" customHeight="true" outlineLevel="0" collapsed="false">
      <c r="A17" s="16" t="n">
        <v>11</v>
      </c>
      <c r="B17" s="17" t="s">
        <v>237</v>
      </c>
      <c r="C17" s="16" t="s">
        <v>97</v>
      </c>
      <c r="D17" s="18" t="s">
        <v>118</v>
      </c>
      <c r="E17" s="18" t="s">
        <v>250</v>
      </c>
      <c r="F17" s="18" t="s">
        <v>251</v>
      </c>
      <c r="G17" s="18" t="s">
        <v>112</v>
      </c>
      <c r="H17" s="17" t="n">
        <v>5</v>
      </c>
      <c r="I17" s="16" t="n">
        <f aca="false">H17+J17</f>
        <v>6</v>
      </c>
      <c r="J17" s="17" t="n">
        <v>1</v>
      </c>
      <c r="K17" s="16" t="n">
        <v>1</v>
      </c>
      <c r="L17" s="16" t="n">
        <v>0</v>
      </c>
      <c r="M17" s="16" t="n">
        <f aca="false">I17</f>
        <v>6</v>
      </c>
      <c r="N17" s="19" t="n">
        <f aca="false">J17/M17</f>
        <v>0.166666666666667</v>
      </c>
      <c r="O17" s="16" t="n">
        <v>0</v>
      </c>
      <c r="P17" s="18" t="s">
        <v>105</v>
      </c>
      <c r="Q17" s="18" t="s">
        <v>240</v>
      </c>
      <c r="R17" s="16" t="s">
        <v>241</v>
      </c>
      <c r="S17" s="16" t="s">
        <v>242</v>
      </c>
    </row>
    <row r="18" customFormat="false" ht="15" hidden="false" customHeight="true" outlineLevel="0" collapsed="false">
      <c r="A18" s="16" t="n">
        <v>12</v>
      </c>
      <c r="B18" s="17" t="s">
        <v>237</v>
      </c>
      <c r="C18" s="16" t="s">
        <v>97</v>
      </c>
      <c r="D18" s="18" t="s">
        <v>118</v>
      </c>
      <c r="E18" s="18" t="s">
        <v>243</v>
      </c>
      <c r="F18" s="18" t="s">
        <v>244</v>
      </c>
      <c r="G18" s="18" t="s">
        <v>126</v>
      </c>
      <c r="H18" s="17" t="n">
        <v>3</v>
      </c>
      <c r="I18" s="16" t="n">
        <f aca="false">H18+J18</f>
        <v>4</v>
      </c>
      <c r="J18" s="17" t="n">
        <v>1</v>
      </c>
      <c r="K18" s="16" t="n">
        <v>1</v>
      </c>
      <c r="L18" s="16" t="n">
        <v>0</v>
      </c>
      <c r="M18" s="16" t="n">
        <f aca="false">I18</f>
        <v>4</v>
      </c>
      <c r="N18" s="19" t="n">
        <f aca="false">J18/M18</f>
        <v>0.25</v>
      </c>
      <c r="O18" s="20" t="n">
        <v>1</v>
      </c>
      <c r="P18" s="20" t="s">
        <v>245</v>
      </c>
      <c r="Q18" s="18" t="s">
        <v>246</v>
      </c>
      <c r="R18" s="16" t="s">
        <v>247</v>
      </c>
      <c r="S18" s="16" t="s">
        <v>242</v>
      </c>
    </row>
    <row r="19" customFormat="false" ht="15" hidden="false" customHeight="true" outlineLevel="0" collapsed="false">
      <c r="A19" s="16" t="n">
        <v>13</v>
      </c>
      <c r="B19" s="17" t="s">
        <v>237</v>
      </c>
      <c r="C19" s="16" t="s">
        <v>97</v>
      </c>
      <c r="D19" s="18" t="s">
        <v>118</v>
      </c>
      <c r="E19" s="18" t="s">
        <v>248</v>
      </c>
      <c r="F19" s="18" t="s">
        <v>249</v>
      </c>
      <c r="G19" s="18" t="s">
        <v>121</v>
      </c>
      <c r="H19" s="17" t="n">
        <v>6</v>
      </c>
      <c r="I19" s="16" t="n">
        <f aca="false">H19+J19</f>
        <v>7</v>
      </c>
      <c r="J19" s="17" t="n">
        <v>1</v>
      </c>
      <c r="K19" s="16" t="n">
        <v>1</v>
      </c>
      <c r="L19" s="16" t="n">
        <v>0</v>
      </c>
      <c r="M19" s="16" t="n">
        <f aca="false">I19</f>
        <v>7</v>
      </c>
      <c r="N19" s="19" t="n">
        <f aca="false">J19/M19</f>
        <v>0.142857142857143</v>
      </c>
      <c r="O19" s="16" t="n">
        <v>0</v>
      </c>
      <c r="P19" s="18" t="s">
        <v>105</v>
      </c>
      <c r="Q19" s="18" t="s">
        <v>240</v>
      </c>
      <c r="R19" s="16" t="s">
        <v>241</v>
      </c>
      <c r="S19" s="16" t="s">
        <v>242</v>
      </c>
    </row>
    <row r="20" customFormat="false" ht="15" hidden="false" customHeight="true" outlineLevel="0" collapsed="false">
      <c r="A20" s="16" t="n">
        <v>14</v>
      </c>
      <c r="B20" s="17" t="s">
        <v>237</v>
      </c>
      <c r="C20" s="16" t="s">
        <v>97</v>
      </c>
      <c r="D20" s="18" t="s">
        <v>118</v>
      </c>
      <c r="E20" s="18" t="s">
        <v>250</v>
      </c>
      <c r="F20" s="18" t="s">
        <v>251</v>
      </c>
      <c r="G20" s="18" t="s">
        <v>112</v>
      </c>
      <c r="H20" s="17" t="n">
        <v>5</v>
      </c>
      <c r="I20" s="16" t="n">
        <f aca="false">H20+J20</f>
        <v>6</v>
      </c>
      <c r="J20" s="17" t="n">
        <v>1</v>
      </c>
      <c r="K20" s="16" t="n">
        <v>1</v>
      </c>
      <c r="L20" s="16" t="n">
        <v>0</v>
      </c>
      <c r="M20" s="16" t="n">
        <f aca="false">I20</f>
        <v>6</v>
      </c>
      <c r="N20" s="19" t="n">
        <f aca="false">J20/M20</f>
        <v>0.166666666666667</v>
      </c>
      <c r="O20" s="16" t="n">
        <v>0</v>
      </c>
      <c r="P20" s="18" t="s">
        <v>105</v>
      </c>
      <c r="Q20" s="18" t="s">
        <v>240</v>
      </c>
      <c r="R20" s="16" t="s">
        <v>241</v>
      </c>
      <c r="S20" s="16" t="s">
        <v>242</v>
      </c>
    </row>
    <row r="21" customFormat="false" ht="15" hidden="false" customHeight="true" outlineLevel="0" collapsed="false">
      <c r="A21" s="16" t="n">
        <v>15</v>
      </c>
      <c r="B21" s="17" t="s">
        <v>237</v>
      </c>
      <c r="C21" s="16" t="s">
        <v>97</v>
      </c>
      <c r="D21" s="18" t="s">
        <v>118</v>
      </c>
      <c r="E21" s="18" t="s">
        <v>238</v>
      </c>
      <c r="F21" s="18" t="s">
        <v>239</v>
      </c>
      <c r="G21" s="18" t="s">
        <v>101</v>
      </c>
      <c r="H21" s="17" t="n">
        <v>4</v>
      </c>
      <c r="I21" s="16" t="n">
        <f aca="false">H21+J21</f>
        <v>5</v>
      </c>
      <c r="J21" s="17" t="n">
        <v>1</v>
      </c>
      <c r="K21" s="16" t="n">
        <v>1</v>
      </c>
      <c r="L21" s="16" t="n">
        <v>0</v>
      </c>
      <c r="M21" s="16" t="n">
        <f aca="false">I21</f>
        <v>5</v>
      </c>
      <c r="N21" s="19" t="n">
        <f aca="false">J21/M21</f>
        <v>0.2</v>
      </c>
      <c r="O21" s="16" t="n">
        <v>0</v>
      </c>
      <c r="P21" s="18" t="s">
        <v>105</v>
      </c>
      <c r="Q21" s="18" t="s">
        <v>240</v>
      </c>
      <c r="R21" s="16" t="s">
        <v>241</v>
      </c>
      <c r="S21" s="16" t="s">
        <v>242</v>
      </c>
    </row>
    <row r="22" customFormat="false" ht="15" hidden="false" customHeight="true" outlineLevel="0" collapsed="false">
      <c r="A22" s="16" t="n">
        <v>16</v>
      </c>
      <c r="B22" s="17" t="s">
        <v>237</v>
      </c>
      <c r="C22" s="16" t="s">
        <v>97</v>
      </c>
      <c r="D22" s="18" t="s">
        <v>118</v>
      </c>
      <c r="E22" s="18" t="s">
        <v>238</v>
      </c>
      <c r="F22" s="18" t="s">
        <v>239</v>
      </c>
      <c r="G22" s="18" t="s">
        <v>101</v>
      </c>
      <c r="H22" s="17" t="n">
        <v>4</v>
      </c>
      <c r="I22" s="16" t="n">
        <f aca="false">H22+J22</f>
        <v>5</v>
      </c>
      <c r="J22" s="17" t="n">
        <v>1</v>
      </c>
      <c r="K22" s="16" t="n">
        <v>1</v>
      </c>
      <c r="L22" s="16" t="n">
        <v>0</v>
      </c>
      <c r="M22" s="16" t="n">
        <f aca="false">I22</f>
        <v>5</v>
      </c>
      <c r="N22" s="19" t="n">
        <f aca="false">J22/M22</f>
        <v>0.2</v>
      </c>
      <c r="O22" s="16" t="n">
        <v>0</v>
      </c>
      <c r="P22" s="18" t="s">
        <v>105</v>
      </c>
      <c r="Q22" s="18" t="s">
        <v>240</v>
      </c>
      <c r="R22" s="16" t="s">
        <v>241</v>
      </c>
      <c r="S22" s="16" t="s">
        <v>242</v>
      </c>
    </row>
    <row r="23" customFormat="false" ht="15" hidden="false" customHeight="true" outlineLevel="0" collapsed="false">
      <c r="A23" s="16" t="n">
        <v>17</v>
      </c>
      <c r="B23" s="17" t="s">
        <v>237</v>
      </c>
      <c r="C23" s="16" t="s">
        <v>97</v>
      </c>
      <c r="D23" s="18" t="s">
        <v>118</v>
      </c>
      <c r="E23" s="18" t="s">
        <v>243</v>
      </c>
      <c r="F23" s="18" t="s">
        <v>244</v>
      </c>
      <c r="G23" s="18" t="s">
        <v>126</v>
      </c>
      <c r="H23" s="17" t="n">
        <v>3</v>
      </c>
      <c r="I23" s="16" t="n">
        <f aca="false">H23+J23</f>
        <v>4</v>
      </c>
      <c r="J23" s="17" t="n">
        <v>1</v>
      </c>
      <c r="K23" s="16" t="n">
        <v>1</v>
      </c>
      <c r="L23" s="16" t="n">
        <v>0</v>
      </c>
      <c r="M23" s="16" t="n">
        <f aca="false">I23</f>
        <v>4</v>
      </c>
      <c r="N23" s="19" t="n">
        <f aca="false">J23/M23</f>
        <v>0.25</v>
      </c>
      <c r="O23" s="20" t="n">
        <v>1</v>
      </c>
      <c r="P23" s="20" t="s">
        <v>245</v>
      </c>
      <c r="Q23" s="18" t="s">
        <v>246</v>
      </c>
      <c r="R23" s="16" t="s">
        <v>247</v>
      </c>
      <c r="S23" s="16" t="s">
        <v>242</v>
      </c>
    </row>
    <row r="24" customFormat="false" ht="15" hidden="false" customHeight="true" outlineLevel="0" collapsed="false">
      <c r="A24" s="16" t="n">
        <v>18</v>
      </c>
      <c r="B24" s="17" t="s">
        <v>237</v>
      </c>
      <c r="C24" s="16" t="s">
        <v>97</v>
      </c>
      <c r="D24" s="18" t="s">
        <v>118</v>
      </c>
      <c r="E24" s="18" t="s">
        <v>243</v>
      </c>
      <c r="F24" s="18" t="s">
        <v>244</v>
      </c>
      <c r="G24" s="18" t="s">
        <v>126</v>
      </c>
      <c r="H24" s="17" t="n">
        <v>3</v>
      </c>
      <c r="I24" s="16" t="n">
        <f aca="false">H24+J24</f>
        <v>4</v>
      </c>
      <c r="J24" s="17" t="n">
        <v>1</v>
      </c>
      <c r="K24" s="16" t="n">
        <v>1</v>
      </c>
      <c r="L24" s="16" t="n">
        <v>0</v>
      </c>
      <c r="M24" s="16" t="n">
        <f aca="false">I24</f>
        <v>4</v>
      </c>
      <c r="N24" s="19" t="n">
        <f aca="false">J24/M24</f>
        <v>0.25</v>
      </c>
      <c r="O24" s="20" t="n">
        <v>1</v>
      </c>
      <c r="P24" s="20" t="s">
        <v>245</v>
      </c>
      <c r="Q24" s="18" t="s">
        <v>246</v>
      </c>
      <c r="R24" s="16" t="s">
        <v>247</v>
      </c>
      <c r="S24" s="16" t="s">
        <v>242</v>
      </c>
    </row>
    <row r="25" customFormat="false" ht="15" hidden="false" customHeight="true" outlineLevel="0" collapsed="false">
      <c r="A25" s="16" t="n">
        <v>19</v>
      </c>
      <c r="B25" s="17" t="s">
        <v>237</v>
      </c>
      <c r="C25" s="16" t="s">
        <v>97</v>
      </c>
      <c r="D25" s="18" t="s">
        <v>118</v>
      </c>
      <c r="E25" s="18" t="s">
        <v>238</v>
      </c>
      <c r="F25" s="18" t="s">
        <v>239</v>
      </c>
      <c r="G25" s="18" t="s">
        <v>101</v>
      </c>
      <c r="H25" s="17" t="n">
        <v>4</v>
      </c>
      <c r="I25" s="16" t="n">
        <f aca="false">H25+J25</f>
        <v>5</v>
      </c>
      <c r="J25" s="17" t="n">
        <v>1</v>
      </c>
      <c r="K25" s="16" t="n">
        <v>1</v>
      </c>
      <c r="L25" s="16" t="n">
        <v>0</v>
      </c>
      <c r="M25" s="16" t="n">
        <f aca="false">I25</f>
        <v>5</v>
      </c>
      <c r="N25" s="19" t="n">
        <f aca="false">J25/M25</f>
        <v>0.2</v>
      </c>
      <c r="O25" s="16" t="n">
        <v>0</v>
      </c>
      <c r="P25" s="18" t="s">
        <v>105</v>
      </c>
      <c r="Q25" s="18" t="s">
        <v>240</v>
      </c>
      <c r="R25" s="16" t="s">
        <v>241</v>
      </c>
      <c r="S25" s="16" t="s">
        <v>242</v>
      </c>
    </row>
    <row r="26" customFormat="false" ht="15" hidden="false" customHeight="true" outlineLevel="0" collapsed="false">
      <c r="A26" s="16" t="n">
        <v>20</v>
      </c>
      <c r="B26" s="17" t="s">
        <v>237</v>
      </c>
      <c r="C26" s="16" t="s">
        <v>97</v>
      </c>
      <c r="D26" s="18" t="s">
        <v>118</v>
      </c>
      <c r="E26" s="18" t="s">
        <v>238</v>
      </c>
      <c r="F26" s="18" t="s">
        <v>239</v>
      </c>
      <c r="G26" s="18" t="s">
        <v>101</v>
      </c>
      <c r="H26" s="17" t="n">
        <v>4</v>
      </c>
      <c r="I26" s="16" t="n">
        <f aca="false">H26+J26</f>
        <v>5</v>
      </c>
      <c r="J26" s="17" t="n">
        <v>1</v>
      </c>
      <c r="K26" s="16" t="n">
        <v>1</v>
      </c>
      <c r="L26" s="16" t="n">
        <v>0</v>
      </c>
      <c r="M26" s="16" t="n">
        <f aca="false">I26</f>
        <v>5</v>
      </c>
      <c r="N26" s="19" t="n">
        <f aca="false">J26/M26</f>
        <v>0.2</v>
      </c>
      <c r="O26" s="16" t="n">
        <v>0</v>
      </c>
      <c r="P26" s="18" t="s">
        <v>105</v>
      </c>
      <c r="Q26" s="18" t="s">
        <v>240</v>
      </c>
      <c r="R26" s="16" t="s">
        <v>241</v>
      </c>
      <c r="S26" s="16" t="s">
        <v>242</v>
      </c>
    </row>
    <row r="27" customFormat="false" ht="15" hidden="false" customHeight="true" outlineLevel="0" collapsed="false">
      <c r="A27" s="16" t="n">
        <v>21</v>
      </c>
      <c r="B27" s="17" t="s">
        <v>237</v>
      </c>
      <c r="C27" s="16" t="s">
        <v>97</v>
      </c>
      <c r="D27" s="18" t="s">
        <v>124</v>
      </c>
      <c r="E27" s="18" t="s">
        <v>243</v>
      </c>
      <c r="F27" s="18" t="s">
        <v>244</v>
      </c>
      <c r="G27" s="18" t="s">
        <v>126</v>
      </c>
      <c r="H27" s="17" t="n">
        <v>3</v>
      </c>
      <c r="I27" s="16" t="n">
        <f aca="false">H27+J27</f>
        <v>4</v>
      </c>
      <c r="J27" s="17" t="n">
        <v>1</v>
      </c>
      <c r="K27" s="16" t="n">
        <v>1</v>
      </c>
      <c r="L27" s="16" t="n">
        <v>0</v>
      </c>
      <c r="M27" s="16" t="n">
        <f aca="false">I27</f>
        <v>4</v>
      </c>
      <c r="N27" s="19" t="n">
        <f aca="false">J27/M27</f>
        <v>0.25</v>
      </c>
      <c r="O27" s="20" t="n">
        <v>1</v>
      </c>
      <c r="P27" s="20" t="s">
        <v>245</v>
      </c>
      <c r="Q27" s="18" t="s">
        <v>246</v>
      </c>
      <c r="R27" s="16" t="s">
        <v>247</v>
      </c>
      <c r="S27" s="16" t="s">
        <v>242</v>
      </c>
    </row>
    <row r="28" customFormat="false" ht="15" hidden="false" customHeight="true" outlineLevel="0" collapsed="false">
      <c r="A28" s="16" t="n">
        <v>22</v>
      </c>
      <c r="B28" s="17" t="s">
        <v>237</v>
      </c>
      <c r="C28" s="16" t="s">
        <v>97</v>
      </c>
      <c r="D28" s="18" t="s">
        <v>124</v>
      </c>
      <c r="E28" s="18" t="s">
        <v>248</v>
      </c>
      <c r="F28" s="18" t="s">
        <v>249</v>
      </c>
      <c r="G28" s="18" t="s">
        <v>121</v>
      </c>
      <c r="H28" s="17" t="n">
        <v>6</v>
      </c>
      <c r="I28" s="16" t="n">
        <f aca="false">H28+J28</f>
        <v>7</v>
      </c>
      <c r="J28" s="17" t="n">
        <v>1</v>
      </c>
      <c r="K28" s="16" t="n">
        <v>1</v>
      </c>
      <c r="L28" s="16" t="n">
        <v>0</v>
      </c>
      <c r="M28" s="16" t="n">
        <f aca="false">I28</f>
        <v>7</v>
      </c>
      <c r="N28" s="19" t="n">
        <f aca="false">J28/M28</f>
        <v>0.142857142857143</v>
      </c>
      <c r="O28" s="16" t="n">
        <v>0</v>
      </c>
      <c r="P28" s="18" t="s">
        <v>105</v>
      </c>
      <c r="Q28" s="18" t="s">
        <v>240</v>
      </c>
      <c r="R28" s="16" t="s">
        <v>241</v>
      </c>
      <c r="S28" s="16" t="s">
        <v>242</v>
      </c>
    </row>
    <row r="29" customFormat="false" ht="15" hidden="false" customHeight="true" outlineLevel="0" collapsed="false">
      <c r="A29" s="16" t="n">
        <v>23</v>
      </c>
      <c r="B29" s="17" t="s">
        <v>237</v>
      </c>
      <c r="C29" s="16" t="s">
        <v>97</v>
      </c>
      <c r="D29" s="18" t="s">
        <v>124</v>
      </c>
      <c r="E29" s="18" t="s">
        <v>238</v>
      </c>
      <c r="F29" s="18" t="s">
        <v>239</v>
      </c>
      <c r="G29" s="18" t="s">
        <v>101</v>
      </c>
      <c r="H29" s="17" t="n">
        <v>4</v>
      </c>
      <c r="I29" s="16" t="n">
        <f aca="false">H29+J29</f>
        <v>5</v>
      </c>
      <c r="J29" s="17" t="n">
        <v>1</v>
      </c>
      <c r="K29" s="16" t="n">
        <v>1</v>
      </c>
      <c r="L29" s="16" t="n">
        <v>0</v>
      </c>
      <c r="M29" s="16" t="n">
        <f aca="false">I29</f>
        <v>5</v>
      </c>
      <c r="N29" s="19" t="n">
        <f aca="false">J29/M29</f>
        <v>0.2</v>
      </c>
      <c r="O29" s="16" t="n">
        <v>0</v>
      </c>
      <c r="P29" s="18" t="s">
        <v>105</v>
      </c>
      <c r="Q29" s="18" t="s">
        <v>240</v>
      </c>
      <c r="R29" s="16" t="s">
        <v>241</v>
      </c>
      <c r="S29" s="16" t="s">
        <v>242</v>
      </c>
    </row>
    <row r="30" customFormat="false" ht="15" hidden="false" customHeight="true" outlineLevel="0" collapsed="false">
      <c r="A30" s="16" t="n">
        <v>24</v>
      </c>
      <c r="B30" s="17" t="s">
        <v>237</v>
      </c>
      <c r="C30" s="16" t="s">
        <v>97</v>
      </c>
      <c r="D30" s="18" t="s">
        <v>124</v>
      </c>
      <c r="E30" s="18" t="s">
        <v>238</v>
      </c>
      <c r="F30" s="18" t="s">
        <v>239</v>
      </c>
      <c r="G30" s="18" t="s">
        <v>101</v>
      </c>
      <c r="H30" s="17" t="n">
        <v>4</v>
      </c>
      <c r="I30" s="16" t="n">
        <f aca="false">H30+J30</f>
        <v>5</v>
      </c>
      <c r="J30" s="17" t="n">
        <v>1</v>
      </c>
      <c r="K30" s="16" t="n">
        <v>1</v>
      </c>
      <c r="L30" s="16" t="n">
        <v>0</v>
      </c>
      <c r="M30" s="16" t="n">
        <f aca="false">I30</f>
        <v>5</v>
      </c>
      <c r="N30" s="19" t="n">
        <f aca="false">J30/M30</f>
        <v>0.2</v>
      </c>
      <c r="O30" s="16" t="n">
        <v>0</v>
      </c>
      <c r="P30" s="18" t="s">
        <v>105</v>
      </c>
      <c r="Q30" s="18" t="s">
        <v>240</v>
      </c>
      <c r="R30" s="16" t="s">
        <v>241</v>
      </c>
      <c r="S30" s="16" t="s">
        <v>242</v>
      </c>
    </row>
    <row r="31" customFormat="false" ht="15" hidden="false" customHeight="true" outlineLevel="0" collapsed="false">
      <c r="A31" s="16" t="n">
        <v>25</v>
      </c>
      <c r="B31" s="17" t="s">
        <v>237</v>
      </c>
      <c r="C31" s="16" t="s">
        <v>97</v>
      </c>
      <c r="D31" s="18" t="s">
        <v>124</v>
      </c>
      <c r="E31" s="18" t="s">
        <v>248</v>
      </c>
      <c r="F31" s="18" t="s">
        <v>249</v>
      </c>
      <c r="G31" s="18" t="s">
        <v>121</v>
      </c>
      <c r="H31" s="17" t="n">
        <v>6</v>
      </c>
      <c r="I31" s="16" t="n">
        <f aca="false">H31+J31</f>
        <v>7</v>
      </c>
      <c r="J31" s="17" t="n">
        <v>1</v>
      </c>
      <c r="K31" s="16" t="n">
        <v>1</v>
      </c>
      <c r="L31" s="16" t="n">
        <v>0</v>
      </c>
      <c r="M31" s="16" t="n">
        <f aca="false">I31</f>
        <v>7</v>
      </c>
      <c r="N31" s="19" t="n">
        <f aca="false">J31/M31</f>
        <v>0.142857142857143</v>
      </c>
      <c r="O31" s="16" t="n">
        <v>0</v>
      </c>
      <c r="P31" s="18" t="s">
        <v>105</v>
      </c>
      <c r="Q31" s="18" t="s">
        <v>240</v>
      </c>
      <c r="R31" s="16" t="s">
        <v>241</v>
      </c>
      <c r="S31" s="16" t="s">
        <v>242</v>
      </c>
    </row>
    <row r="32" customFormat="false" ht="15" hidden="false" customHeight="true" outlineLevel="0" collapsed="false">
      <c r="A32" s="16" t="n">
        <v>26</v>
      </c>
      <c r="B32" s="17" t="s">
        <v>237</v>
      </c>
      <c r="C32" s="16" t="s">
        <v>97</v>
      </c>
      <c r="D32" s="18" t="s">
        <v>124</v>
      </c>
      <c r="E32" s="18" t="s">
        <v>250</v>
      </c>
      <c r="F32" s="18" t="s">
        <v>251</v>
      </c>
      <c r="G32" s="18" t="s">
        <v>112</v>
      </c>
      <c r="H32" s="17" t="n">
        <v>5</v>
      </c>
      <c r="I32" s="16" t="n">
        <f aca="false">H32+J32</f>
        <v>6</v>
      </c>
      <c r="J32" s="17" t="n">
        <v>1</v>
      </c>
      <c r="K32" s="16" t="n">
        <v>1</v>
      </c>
      <c r="L32" s="16" t="n">
        <v>0</v>
      </c>
      <c r="M32" s="16" t="n">
        <f aca="false">I32</f>
        <v>6</v>
      </c>
      <c r="N32" s="19" t="n">
        <f aca="false">J32/M32</f>
        <v>0.166666666666667</v>
      </c>
      <c r="O32" s="16" t="n">
        <v>0</v>
      </c>
      <c r="P32" s="18" t="s">
        <v>105</v>
      </c>
      <c r="Q32" s="18" t="s">
        <v>240</v>
      </c>
      <c r="R32" s="16" t="s">
        <v>241</v>
      </c>
      <c r="S32" s="16" t="s">
        <v>242</v>
      </c>
    </row>
    <row r="33" customFormat="false" ht="15" hidden="false" customHeight="true" outlineLevel="0" collapsed="false">
      <c r="A33" s="16" t="n">
        <v>27</v>
      </c>
      <c r="B33" s="17" t="s">
        <v>237</v>
      </c>
      <c r="C33" s="16" t="s">
        <v>97</v>
      </c>
      <c r="D33" s="18" t="s">
        <v>124</v>
      </c>
      <c r="E33" s="18" t="s">
        <v>243</v>
      </c>
      <c r="F33" s="18" t="s">
        <v>244</v>
      </c>
      <c r="G33" s="18" t="s">
        <v>126</v>
      </c>
      <c r="H33" s="17" t="n">
        <v>3</v>
      </c>
      <c r="I33" s="16" t="n">
        <f aca="false">H33+J33</f>
        <v>4</v>
      </c>
      <c r="J33" s="17" t="n">
        <v>1</v>
      </c>
      <c r="K33" s="16" t="n">
        <v>1</v>
      </c>
      <c r="L33" s="16" t="n">
        <v>0</v>
      </c>
      <c r="M33" s="16" t="n">
        <f aca="false">I33</f>
        <v>4</v>
      </c>
      <c r="N33" s="19" t="n">
        <f aca="false">J33/M33</f>
        <v>0.25</v>
      </c>
      <c r="O33" s="20" t="n">
        <v>1</v>
      </c>
      <c r="P33" s="20" t="s">
        <v>245</v>
      </c>
      <c r="Q33" s="18" t="s">
        <v>246</v>
      </c>
      <c r="R33" s="16" t="s">
        <v>247</v>
      </c>
      <c r="S33" s="16" t="s">
        <v>242</v>
      </c>
    </row>
    <row r="34" customFormat="false" ht="15" hidden="false" customHeight="true" outlineLevel="0" collapsed="false">
      <c r="A34" s="16" t="n">
        <v>28</v>
      </c>
      <c r="B34" s="17" t="s">
        <v>237</v>
      </c>
      <c r="C34" s="16" t="s">
        <v>97</v>
      </c>
      <c r="D34" s="18" t="s">
        <v>124</v>
      </c>
      <c r="E34" s="18" t="s">
        <v>243</v>
      </c>
      <c r="F34" s="18" t="s">
        <v>244</v>
      </c>
      <c r="G34" s="18" t="s">
        <v>126</v>
      </c>
      <c r="H34" s="17" t="n">
        <v>3</v>
      </c>
      <c r="I34" s="16" t="n">
        <f aca="false">H34+J34</f>
        <v>4</v>
      </c>
      <c r="J34" s="17" t="n">
        <v>1</v>
      </c>
      <c r="K34" s="16" t="n">
        <v>1</v>
      </c>
      <c r="L34" s="16" t="n">
        <v>0</v>
      </c>
      <c r="M34" s="16" t="n">
        <f aca="false">I34</f>
        <v>4</v>
      </c>
      <c r="N34" s="19" t="n">
        <f aca="false">J34/M34</f>
        <v>0.25</v>
      </c>
      <c r="O34" s="20" t="n">
        <v>1</v>
      </c>
      <c r="P34" s="20" t="s">
        <v>245</v>
      </c>
      <c r="Q34" s="18" t="s">
        <v>246</v>
      </c>
      <c r="R34" s="16" t="s">
        <v>247</v>
      </c>
      <c r="S34" s="16" t="s">
        <v>242</v>
      </c>
    </row>
    <row r="35" customFormat="false" ht="15" hidden="false" customHeight="true" outlineLevel="0" collapsed="false">
      <c r="A35" s="16" t="n">
        <v>29</v>
      </c>
      <c r="B35" s="17" t="s">
        <v>237</v>
      </c>
      <c r="C35" s="16" t="s">
        <v>97</v>
      </c>
      <c r="D35" s="18" t="s">
        <v>124</v>
      </c>
      <c r="E35" s="18" t="s">
        <v>243</v>
      </c>
      <c r="F35" s="18" t="s">
        <v>244</v>
      </c>
      <c r="G35" s="18" t="s">
        <v>126</v>
      </c>
      <c r="H35" s="17" t="n">
        <v>3</v>
      </c>
      <c r="I35" s="16" t="n">
        <f aca="false">H35+J35</f>
        <v>4</v>
      </c>
      <c r="J35" s="17" t="n">
        <v>1</v>
      </c>
      <c r="K35" s="16" t="n">
        <v>1</v>
      </c>
      <c r="L35" s="16" t="n">
        <v>0</v>
      </c>
      <c r="M35" s="16" t="n">
        <f aca="false">I35</f>
        <v>4</v>
      </c>
      <c r="N35" s="19" t="n">
        <f aca="false">J35/M35</f>
        <v>0.25</v>
      </c>
      <c r="O35" s="20" t="n">
        <v>1</v>
      </c>
      <c r="P35" s="20" t="s">
        <v>245</v>
      </c>
      <c r="Q35" s="18" t="s">
        <v>246</v>
      </c>
      <c r="R35" s="16" t="s">
        <v>247</v>
      </c>
      <c r="S35" s="16" t="s">
        <v>242</v>
      </c>
    </row>
    <row r="36" customFormat="false" ht="15" hidden="false" customHeight="true" outlineLevel="0" collapsed="false">
      <c r="A36" s="16" t="n">
        <v>30</v>
      </c>
      <c r="B36" s="17" t="s">
        <v>237</v>
      </c>
      <c r="C36" s="16" t="s">
        <v>97</v>
      </c>
      <c r="D36" s="18" t="s">
        <v>124</v>
      </c>
      <c r="E36" s="18" t="s">
        <v>238</v>
      </c>
      <c r="F36" s="18" t="s">
        <v>239</v>
      </c>
      <c r="G36" s="18" t="s">
        <v>101</v>
      </c>
      <c r="H36" s="17" t="n">
        <v>4</v>
      </c>
      <c r="I36" s="16" t="n">
        <f aca="false">H36+J36</f>
        <v>5</v>
      </c>
      <c r="J36" s="17" t="n">
        <v>1</v>
      </c>
      <c r="K36" s="16" t="n">
        <v>1</v>
      </c>
      <c r="L36" s="16" t="n">
        <v>0</v>
      </c>
      <c r="M36" s="16" t="n">
        <f aca="false">I36</f>
        <v>5</v>
      </c>
      <c r="N36" s="19" t="n">
        <f aca="false">J36/M36</f>
        <v>0.2</v>
      </c>
      <c r="O36" s="16" t="n">
        <v>0</v>
      </c>
      <c r="P36" s="18" t="s">
        <v>105</v>
      </c>
      <c r="Q36" s="18" t="s">
        <v>240</v>
      </c>
      <c r="R36" s="16" t="s">
        <v>241</v>
      </c>
      <c r="S36" s="16" t="s">
        <v>242</v>
      </c>
    </row>
    <row r="37" customFormat="false" ht="15" hidden="false" customHeight="true" outlineLevel="0" collapsed="false">
      <c r="A37" s="21" t="s">
        <v>128</v>
      </c>
      <c r="J37" s="21" t="n">
        <f aca="false">SUM(J7:J36)</f>
        <v>30</v>
      </c>
      <c r="M37" s="21" t="n">
        <f aca="false">SUM(M7:M36)</f>
        <v>151</v>
      </c>
    </row>
    <row r="39" customFormat="false" ht="15" hidden="false" customHeight="true" outlineLevel="0" collapsed="false">
      <c r="A39" s="22" t="s">
        <v>129</v>
      </c>
      <c r="B39" s="23" t="s">
        <v>96</v>
      </c>
      <c r="D39" s="24" t="s">
        <v>130</v>
      </c>
    </row>
  </sheetData>
  <autoFilter ref="A6:S36"/>
  <mergeCells count="1">
    <mergeCell ref="A2:S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8" min="3" style="1" width="22"/>
    <col collapsed="false" customWidth="true" hidden="false" outlineLevel="0" max="9" min="9" style="1" width="12"/>
    <col collapsed="false" customWidth="true" hidden="false" outlineLevel="0" max="12" min="10" style="1" width="9"/>
  </cols>
  <sheetData>
    <row r="1" customFormat="false" ht="17.25" hidden="false" customHeight="true" outlineLevel="0" collapsed="false">
      <c r="A1" s="2" t="s">
        <v>252</v>
      </c>
      <c r="H1" s="6" t="s">
        <v>253</v>
      </c>
    </row>
    <row r="2" customFormat="false" ht="15" hidden="false" customHeight="true" outlineLevel="0" collapsed="false">
      <c r="H2" s="26" t="s">
        <v>135</v>
      </c>
      <c r="I2" s="27" t="n">
        <f aca="false">SUM(P2_Data!J7:J36)</f>
        <v>30</v>
      </c>
    </row>
    <row r="3" customFormat="false" ht="15" hidden="false" customHeight="true" outlineLevel="0" collapsed="false">
      <c r="H3" s="26" t="s">
        <v>254</v>
      </c>
      <c r="I3" s="27" t="n">
        <f aca="false">SUM(P2_Data!M7:M36)</f>
        <v>151</v>
      </c>
    </row>
    <row r="4" customFormat="false" ht="15" hidden="false" customHeight="true" outlineLevel="0" collapsed="false">
      <c r="H4" s="26" t="s">
        <v>255</v>
      </c>
      <c r="I4" s="32" t="n">
        <f aca="false">I2/I3</f>
        <v>0.198675496688742</v>
      </c>
    </row>
    <row r="5" customFormat="false" ht="15" hidden="false" customHeight="true" outlineLevel="0" collapsed="false">
      <c r="H5" s="26" t="s">
        <v>256</v>
      </c>
      <c r="I5" s="27" t="n">
        <f aca="false">AVERAGE(P2_Data!H7:H36)</f>
        <v>4.03333333333333</v>
      </c>
    </row>
    <row r="6" customFormat="false" ht="15" hidden="false" customHeight="true" outlineLevel="0" collapsed="false">
      <c r="H6" s="26" t="s">
        <v>257</v>
      </c>
      <c r="I6" s="27" t="n">
        <f aca="false">1/(I5+1)</f>
        <v>0.198675496688742</v>
      </c>
    </row>
    <row r="8" customFormat="false" ht="15" hidden="false" customHeight="true" outlineLevel="0" collapsed="false">
      <c r="A8" s="29" t="s">
        <v>258</v>
      </c>
      <c r="B8" s="29" t="s">
        <v>236</v>
      </c>
      <c r="C8" s="29" t="s">
        <v>255</v>
      </c>
      <c r="D8" s="29" t="s">
        <v>139</v>
      </c>
      <c r="E8" s="29" t="s">
        <v>140</v>
      </c>
    </row>
    <row r="9" customFormat="false" ht="15" hidden="false" customHeight="true" outlineLevel="0" collapsed="false">
      <c r="A9" s="31" t="n">
        <f aca="false">P2_Data!A7</f>
        <v>1</v>
      </c>
      <c r="B9" s="28" t="n">
        <f aca="false">P2_Data!N7</f>
        <v>0.2</v>
      </c>
      <c r="C9" s="28" t="n">
        <f aca="false">$I$4</f>
        <v>0.198675496688742</v>
      </c>
      <c r="D9" s="28" t="n">
        <f aca="false">$I$4+3*SQRT($I$4/P2_Data!M7)</f>
        <v>0.796685441455328</v>
      </c>
      <c r="E9" s="28" t="n">
        <f aca="false">MAX(0,$I$4-3*SQRT($I$4/P2_Data!M7))</f>
        <v>0</v>
      </c>
    </row>
    <row r="10" customFormat="false" ht="15" hidden="false" customHeight="true" outlineLevel="0" collapsed="false">
      <c r="A10" s="31" t="n">
        <f aca="false">P2_Data!A8</f>
        <v>2</v>
      </c>
      <c r="B10" s="28" t="n">
        <f aca="false">P2_Data!N8</f>
        <v>0.25</v>
      </c>
      <c r="C10" s="28" t="n">
        <f aca="false">$I$4</f>
        <v>0.198675496688742</v>
      </c>
      <c r="D10" s="28" t="n">
        <f aca="false">$I$4+3*SQRT($I$4/P2_Data!M8)</f>
        <v>0.867270940548232</v>
      </c>
      <c r="E10" s="28" t="n">
        <f aca="false">MAX(0,$I$4-3*SQRT($I$4/P2_Data!M8))</f>
        <v>0</v>
      </c>
      <c r="H10" s="6" t="s">
        <v>259</v>
      </c>
    </row>
    <row r="11" customFormat="false" ht="15" hidden="false" customHeight="true" outlineLevel="0" collapsed="false">
      <c r="A11" s="31" t="n">
        <f aca="false">P2_Data!A9</f>
        <v>3</v>
      </c>
      <c r="B11" s="28" t="n">
        <f aca="false">P2_Data!N9</f>
        <v>0.25</v>
      </c>
      <c r="C11" s="28" t="n">
        <f aca="false">$I$4</f>
        <v>0.198675496688742</v>
      </c>
      <c r="D11" s="28" t="n">
        <f aca="false">$I$4+3*SQRT($I$4/P2_Data!M9)</f>
        <v>0.867270940548232</v>
      </c>
      <c r="E11" s="28" t="n">
        <f aca="false">MAX(0,$I$4-3*SQRT($I$4/P2_Data!M9))</f>
        <v>0</v>
      </c>
      <c r="H11" s="29" t="s">
        <v>258</v>
      </c>
      <c r="I11" s="29" t="s">
        <v>260</v>
      </c>
      <c r="J11" s="29" t="s">
        <v>256</v>
      </c>
      <c r="K11" s="29" t="s">
        <v>139</v>
      </c>
      <c r="L11" s="29" t="s">
        <v>140</v>
      </c>
    </row>
    <row r="12" customFormat="false" ht="15" hidden="false" customHeight="true" outlineLevel="0" collapsed="false">
      <c r="A12" s="31" t="n">
        <f aca="false">P2_Data!A10</f>
        <v>4</v>
      </c>
      <c r="B12" s="28" t="n">
        <f aca="false">P2_Data!N10</f>
        <v>0.25</v>
      </c>
      <c r="C12" s="28" t="n">
        <f aca="false">$I$4</f>
        <v>0.198675496688742</v>
      </c>
      <c r="D12" s="28" t="n">
        <f aca="false">$I$4+3*SQRT($I$4/P2_Data!M10)</f>
        <v>0.867270940548232</v>
      </c>
      <c r="E12" s="28" t="n">
        <f aca="false">MAX(0,$I$4-3*SQRT($I$4/P2_Data!M10))</f>
        <v>0</v>
      </c>
      <c r="H12" s="31" t="n">
        <f aca="false">P2_Data!A7</f>
        <v>1</v>
      </c>
      <c r="I12" s="31" t="n">
        <f aca="false">P2_Data!H7</f>
        <v>4</v>
      </c>
      <c r="J12" s="33" t="n">
        <f aca="false">$I$5</f>
        <v>4.03333333333333</v>
      </c>
      <c r="K12" s="33" t="n">
        <f aca="false">MIN(7,$I$5+3*SQRT((1-$I$6)/$I$6^2))</f>
        <v>7</v>
      </c>
      <c r="L12" s="33" t="n">
        <f aca="false">MAX(0,$I$5-3*SQRT((1-$I$6)/$I$6^2))</f>
        <v>0</v>
      </c>
    </row>
    <row r="13" customFormat="false" ht="15" hidden="false" customHeight="true" outlineLevel="0" collapsed="false">
      <c r="A13" s="31" t="n">
        <f aca="false">P2_Data!A11</f>
        <v>5</v>
      </c>
      <c r="B13" s="28" t="n">
        <f aca="false">P2_Data!N11</f>
        <v>0.2</v>
      </c>
      <c r="C13" s="28" t="n">
        <f aca="false">$I$4</f>
        <v>0.198675496688742</v>
      </c>
      <c r="D13" s="28" t="n">
        <f aca="false">$I$4+3*SQRT($I$4/P2_Data!M11)</f>
        <v>0.796685441455328</v>
      </c>
      <c r="E13" s="28" t="n">
        <f aca="false">MAX(0,$I$4-3*SQRT($I$4/P2_Data!M11))</f>
        <v>0</v>
      </c>
      <c r="H13" s="31" t="n">
        <f aca="false">P2_Data!A8</f>
        <v>2</v>
      </c>
      <c r="I13" s="31" t="n">
        <f aca="false">P2_Data!H8</f>
        <v>3</v>
      </c>
      <c r="J13" s="33" t="n">
        <f aca="false">$I$5</f>
        <v>4.03333333333333</v>
      </c>
      <c r="K13" s="33" t="n">
        <f aca="false">MIN(7,$I$5+3*SQRT((1-$I$6)/$I$6^2))</f>
        <v>7</v>
      </c>
      <c r="L13" s="33" t="n">
        <f aca="false">MAX(0,$I$5-3*SQRT((1-$I$6)/$I$6^2))</f>
        <v>0</v>
      </c>
    </row>
    <row r="14" customFormat="false" ht="15" hidden="false" customHeight="true" outlineLevel="0" collapsed="false">
      <c r="A14" s="31" t="n">
        <f aca="false">P2_Data!A12</f>
        <v>6</v>
      </c>
      <c r="B14" s="28" t="n">
        <f aca="false">P2_Data!N12</f>
        <v>0.25</v>
      </c>
      <c r="C14" s="28" t="n">
        <f aca="false">$I$4</f>
        <v>0.198675496688742</v>
      </c>
      <c r="D14" s="28" t="n">
        <f aca="false">$I$4+3*SQRT($I$4/P2_Data!M12)</f>
        <v>0.867270940548232</v>
      </c>
      <c r="E14" s="28" t="n">
        <f aca="false">MAX(0,$I$4-3*SQRT($I$4/P2_Data!M12))</f>
        <v>0</v>
      </c>
      <c r="H14" s="31" t="n">
        <f aca="false">P2_Data!A9</f>
        <v>3</v>
      </c>
      <c r="I14" s="31" t="n">
        <f aca="false">P2_Data!H9</f>
        <v>3</v>
      </c>
      <c r="J14" s="33" t="n">
        <f aca="false">$I$5</f>
        <v>4.03333333333333</v>
      </c>
      <c r="K14" s="33" t="n">
        <f aca="false">MIN(7,$I$5+3*SQRT((1-$I$6)/$I$6^2))</f>
        <v>7</v>
      </c>
      <c r="L14" s="33" t="n">
        <f aca="false">MAX(0,$I$5-3*SQRT((1-$I$6)/$I$6^2))</f>
        <v>0</v>
      </c>
    </row>
    <row r="15" customFormat="false" ht="15" hidden="false" customHeight="true" outlineLevel="0" collapsed="false">
      <c r="A15" s="31" t="n">
        <f aca="false">P2_Data!A13</f>
        <v>7</v>
      </c>
      <c r="B15" s="28" t="n">
        <f aca="false">P2_Data!N13</f>
        <v>0.142857142857143</v>
      </c>
      <c r="C15" s="28" t="n">
        <f aca="false">$I$4</f>
        <v>0.198675496688742</v>
      </c>
      <c r="D15" s="28" t="n">
        <f aca="false">$I$4+3*SQRT($I$4/P2_Data!M13)</f>
        <v>0.704086145878187</v>
      </c>
      <c r="E15" s="28" t="n">
        <f aca="false">MAX(0,$I$4-3*SQRT($I$4/P2_Data!M13))</f>
        <v>0</v>
      </c>
      <c r="H15" s="31" t="n">
        <f aca="false">P2_Data!A10</f>
        <v>4</v>
      </c>
      <c r="I15" s="31" t="n">
        <f aca="false">P2_Data!H10</f>
        <v>3</v>
      </c>
      <c r="J15" s="33" t="n">
        <f aca="false">$I$5</f>
        <v>4.03333333333333</v>
      </c>
      <c r="K15" s="33" t="n">
        <f aca="false">MIN(7,$I$5+3*SQRT((1-$I$6)/$I$6^2))</f>
        <v>7</v>
      </c>
      <c r="L15" s="33" t="n">
        <f aca="false">MAX(0,$I$5-3*SQRT((1-$I$6)/$I$6^2))</f>
        <v>0</v>
      </c>
    </row>
    <row r="16" customFormat="false" ht="15" hidden="false" customHeight="true" outlineLevel="0" collapsed="false">
      <c r="A16" s="31" t="n">
        <f aca="false">P2_Data!A14</f>
        <v>8</v>
      </c>
      <c r="B16" s="28" t="n">
        <f aca="false">P2_Data!N14</f>
        <v>0.166666666666667</v>
      </c>
      <c r="C16" s="28" t="n">
        <f aca="false">$I$4</f>
        <v>0.198675496688742</v>
      </c>
      <c r="D16" s="28" t="n">
        <f aca="false">$I$4+3*SQRT($I$4/P2_Data!M14)</f>
        <v>0.744581390623871</v>
      </c>
      <c r="E16" s="28" t="n">
        <f aca="false">MAX(0,$I$4-3*SQRT($I$4/P2_Data!M14))</f>
        <v>0</v>
      </c>
      <c r="H16" s="31" t="n">
        <f aca="false">P2_Data!A11</f>
        <v>5</v>
      </c>
      <c r="I16" s="31" t="n">
        <f aca="false">P2_Data!H11</f>
        <v>4</v>
      </c>
      <c r="J16" s="33" t="n">
        <f aca="false">$I$5</f>
        <v>4.03333333333333</v>
      </c>
      <c r="K16" s="33" t="n">
        <f aca="false">MIN(7,$I$5+3*SQRT((1-$I$6)/$I$6^2))</f>
        <v>7</v>
      </c>
      <c r="L16" s="33" t="n">
        <f aca="false">MAX(0,$I$5-3*SQRT((1-$I$6)/$I$6^2))</f>
        <v>0</v>
      </c>
    </row>
    <row r="17" customFormat="false" ht="15" hidden="false" customHeight="true" outlineLevel="0" collapsed="false">
      <c r="A17" s="31" t="n">
        <f aca="false">P2_Data!A15</f>
        <v>9</v>
      </c>
      <c r="B17" s="28" t="n">
        <f aca="false">P2_Data!N15</f>
        <v>0.2</v>
      </c>
      <c r="C17" s="28" t="n">
        <f aca="false">$I$4</f>
        <v>0.198675496688742</v>
      </c>
      <c r="D17" s="28" t="n">
        <f aca="false">$I$4+3*SQRT($I$4/P2_Data!M15)</f>
        <v>0.796685441455328</v>
      </c>
      <c r="E17" s="28" t="n">
        <f aca="false">MAX(0,$I$4-3*SQRT($I$4/P2_Data!M15))</f>
        <v>0</v>
      </c>
      <c r="H17" s="31" t="n">
        <f aca="false">P2_Data!A12</f>
        <v>6</v>
      </c>
      <c r="I17" s="31" t="n">
        <f aca="false">P2_Data!H12</f>
        <v>3</v>
      </c>
      <c r="J17" s="33" t="n">
        <f aca="false">$I$5</f>
        <v>4.03333333333333</v>
      </c>
      <c r="K17" s="33" t="n">
        <f aca="false">MIN(7,$I$5+3*SQRT((1-$I$6)/$I$6^2))</f>
        <v>7</v>
      </c>
      <c r="L17" s="33" t="n">
        <f aca="false">MAX(0,$I$5-3*SQRT((1-$I$6)/$I$6^2))</f>
        <v>0</v>
      </c>
    </row>
    <row r="18" customFormat="false" ht="15" hidden="false" customHeight="true" outlineLevel="0" collapsed="false">
      <c r="A18" s="31" t="n">
        <f aca="false">P2_Data!A16</f>
        <v>10</v>
      </c>
      <c r="B18" s="28" t="n">
        <f aca="false">P2_Data!N16</f>
        <v>0.2</v>
      </c>
      <c r="C18" s="28" t="n">
        <f aca="false">$I$4</f>
        <v>0.198675496688742</v>
      </c>
      <c r="D18" s="28" t="n">
        <f aca="false">$I$4+3*SQRT($I$4/P2_Data!M16)</f>
        <v>0.796685441455328</v>
      </c>
      <c r="E18" s="28" t="n">
        <f aca="false">MAX(0,$I$4-3*SQRT($I$4/P2_Data!M16))</f>
        <v>0</v>
      </c>
      <c r="H18" s="31" t="n">
        <f aca="false">P2_Data!A13</f>
        <v>7</v>
      </c>
      <c r="I18" s="31" t="n">
        <f aca="false">P2_Data!H13</f>
        <v>6</v>
      </c>
      <c r="J18" s="33" t="n">
        <f aca="false">$I$5</f>
        <v>4.03333333333333</v>
      </c>
      <c r="K18" s="33" t="n">
        <f aca="false">MIN(7,$I$5+3*SQRT((1-$I$6)/$I$6^2))</f>
        <v>7</v>
      </c>
      <c r="L18" s="33" t="n">
        <f aca="false">MAX(0,$I$5-3*SQRT((1-$I$6)/$I$6^2))</f>
        <v>0</v>
      </c>
    </row>
    <row r="19" customFormat="false" ht="15" hidden="false" customHeight="true" outlineLevel="0" collapsed="false">
      <c r="A19" s="31" t="n">
        <f aca="false">P2_Data!A17</f>
        <v>11</v>
      </c>
      <c r="B19" s="28" t="n">
        <f aca="false">P2_Data!N17</f>
        <v>0.166666666666667</v>
      </c>
      <c r="C19" s="28" t="n">
        <f aca="false">$I$4</f>
        <v>0.198675496688742</v>
      </c>
      <c r="D19" s="28" t="n">
        <f aca="false">$I$4+3*SQRT($I$4/P2_Data!M17)</f>
        <v>0.744581390623871</v>
      </c>
      <c r="E19" s="28" t="n">
        <f aca="false">MAX(0,$I$4-3*SQRT($I$4/P2_Data!M17))</f>
        <v>0</v>
      </c>
      <c r="H19" s="31" t="n">
        <f aca="false">P2_Data!A14</f>
        <v>8</v>
      </c>
      <c r="I19" s="31" t="n">
        <f aca="false">P2_Data!H14</f>
        <v>5</v>
      </c>
      <c r="J19" s="33" t="n">
        <f aca="false">$I$5</f>
        <v>4.03333333333333</v>
      </c>
      <c r="K19" s="33" t="n">
        <f aca="false">MIN(7,$I$5+3*SQRT((1-$I$6)/$I$6^2))</f>
        <v>7</v>
      </c>
      <c r="L19" s="33" t="n">
        <f aca="false">MAX(0,$I$5-3*SQRT((1-$I$6)/$I$6^2))</f>
        <v>0</v>
      </c>
    </row>
    <row r="20" customFormat="false" ht="15" hidden="false" customHeight="true" outlineLevel="0" collapsed="false">
      <c r="A20" s="31" t="n">
        <f aca="false">P2_Data!A18</f>
        <v>12</v>
      </c>
      <c r="B20" s="28" t="n">
        <f aca="false">P2_Data!N18</f>
        <v>0.25</v>
      </c>
      <c r="C20" s="28" t="n">
        <f aca="false">$I$4</f>
        <v>0.198675496688742</v>
      </c>
      <c r="D20" s="28" t="n">
        <f aca="false">$I$4+3*SQRT($I$4/P2_Data!M18)</f>
        <v>0.867270940548232</v>
      </c>
      <c r="E20" s="28" t="n">
        <f aca="false">MAX(0,$I$4-3*SQRT($I$4/P2_Data!M18))</f>
        <v>0</v>
      </c>
      <c r="H20" s="31" t="n">
        <f aca="false">P2_Data!A15</f>
        <v>9</v>
      </c>
      <c r="I20" s="31" t="n">
        <f aca="false">P2_Data!H15</f>
        <v>4</v>
      </c>
      <c r="J20" s="33" t="n">
        <f aca="false">$I$5</f>
        <v>4.03333333333333</v>
      </c>
      <c r="K20" s="33" t="n">
        <f aca="false">MIN(7,$I$5+3*SQRT((1-$I$6)/$I$6^2))</f>
        <v>7</v>
      </c>
      <c r="L20" s="33" t="n">
        <f aca="false">MAX(0,$I$5-3*SQRT((1-$I$6)/$I$6^2))</f>
        <v>0</v>
      </c>
    </row>
    <row r="21" customFormat="false" ht="15" hidden="false" customHeight="true" outlineLevel="0" collapsed="false">
      <c r="A21" s="31" t="n">
        <f aca="false">P2_Data!A19</f>
        <v>13</v>
      </c>
      <c r="B21" s="28" t="n">
        <f aca="false">P2_Data!N19</f>
        <v>0.142857142857143</v>
      </c>
      <c r="C21" s="28" t="n">
        <f aca="false">$I$4</f>
        <v>0.198675496688742</v>
      </c>
      <c r="D21" s="28" t="n">
        <f aca="false">$I$4+3*SQRT($I$4/P2_Data!M19)</f>
        <v>0.704086145878187</v>
      </c>
      <c r="E21" s="28" t="n">
        <f aca="false">MAX(0,$I$4-3*SQRT($I$4/P2_Data!M19))</f>
        <v>0</v>
      </c>
      <c r="H21" s="31" t="n">
        <f aca="false">P2_Data!A16</f>
        <v>10</v>
      </c>
      <c r="I21" s="31" t="n">
        <f aca="false">P2_Data!H16</f>
        <v>4</v>
      </c>
      <c r="J21" s="33" t="n">
        <f aca="false">$I$5</f>
        <v>4.03333333333333</v>
      </c>
      <c r="K21" s="33" t="n">
        <f aca="false">MIN(7,$I$5+3*SQRT((1-$I$6)/$I$6^2))</f>
        <v>7</v>
      </c>
      <c r="L21" s="33" t="n">
        <f aca="false">MAX(0,$I$5-3*SQRT((1-$I$6)/$I$6^2))</f>
        <v>0</v>
      </c>
    </row>
    <row r="22" customFormat="false" ht="15" hidden="false" customHeight="true" outlineLevel="0" collapsed="false">
      <c r="A22" s="31" t="n">
        <f aca="false">P2_Data!A20</f>
        <v>14</v>
      </c>
      <c r="B22" s="28" t="n">
        <f aca="false">P2_Data!N20</f>
        <v>0.166666666666667</v>
      </c>
      <c r="C22" s="28" t="n">
        <f aca="false">$I$4</f>
        <v>0.198675496688742</v>
      </c>
      <c r="D22" s="28" t="n">
        <f aca="false">$I$4+3*SQRT($I$4/P2_Data!M20)</f>
        <v>0.744581390623871</v>
      </c>
      <c r="E22" s="28" t="n">
        <f aca="false">MAX(0,$I$4-3*SQRT($I$4/P2_Data!M20))</f>
        <v>0</v>
      </c>
      <c r="H22" s="31" t="n">
        <f aca="false">P2_Data!A17</f>
        <v>11</v>
      </c>
      <c r="I22" s="31" t="n">
        <f aca="false">P2_Data!H17</f>
        <v>5</v>
      </c>
      <c r="J22" s="33" t="n">
        <f aca="false">$I$5</f>
        <v>4.03333333333333</v>
      </c>
      <c r="K22" s="33" t="n">
        <f aca="false">MIN(7,$I$5+3*SQRT((1-$I$6)/$I$6^2))</f>
        <v>7</v>
      </c>
      <c r="L22" s="33" t="n">
        <f aca="false">MAX(0,$I$5-3*SQRT((1-$I$6)/$I$6^2))</f>
        <v>0</v>
      </c>
    </row>
    <row r="23" customFormat="false" ht="15" hidden="false" customHeight="true" outlineLevel="0" collapsed="false">
      <c r="A23" s="31" t="n">
        <f aca="false">P2_Data!A21</f>
        <v>15</v>
      </c>
      <c r="B23" s="28" t="n">
        <f aca="false">P2_Data!N21</f>
        <v>0.2</v>
      </c>
      <c r="C23" s="28" t="n">
        <f aca="false">$I$4</f>
        <v>0.198675496688742</v>
      </c>
      <c r="D23" s="28" t="n">
        <f aca="false">$I$4+3*SQRT($I$4/P2_Data!M21)</f>
        <v>0.796685441455328</v>
      </c>
      <c r="E23" s="28" t="n">
        <f aca="false">MAX(0,$I$4-3*SQRT($I$4/P2_Data!M21))</f>
        <v>0</v>
      </c>
      <c r="H23" s="31" t="n">
        <f aca="false">P2_Data!A18</f>
        <v>12</v>
      </c>
      <c r="I23" s="31" t="n">
        <f aca="false">P2_Data!H18</f>
        <v>3</v>
      </c>
      <c r="J23" s="33" t="n">
        <f aca="false">$I$5</f>
        <v>4.03333333333333</v>
      </c>
      <c r="K23" s="33" t="n">
        <f aca="false">MIN(7,$I$5+3*SQRT((1-$I$6)/$I$6^2))</f>
        <v>7</v>
      </c>
      <c r="L23" s="33" t="n">
        <f aca="false">MAX(0,$I$5-3*SQRT((1-$I$6)/$I$6^2))</f>
        <v>0</v>
      </c>
    </row>
    <row r="24" customFormat="false" ht="15" hidden="false" customHeight="true" outlineLevel="0" collapsed="false">
      <c r="A24" s="31" t="n">
        <f aca="false">P2_Data!A22</f>
        <v>16</v>
      </c>
      <c r="B24" s="28" t="n">
        <f aca="false">P2_Data!N22</f>
        <v>0.2</v>
      </c>
      <c r="C24" s="28" t="n">
        <f aca="false">$I$4</f>
        <v>0.198675496688742</v>
      </c>
      <c r="D24" s="28" t="n">
        <f aca="false">$I$4+3*SQRT($I$4/P2_Data!M22)</f>
        <v>0.796685441455328</v>
      </c>
      <c r="E24" s="28" t="n">
        <f aca="false">MAX(0,$I$4-3*SQRT($I$4/P2_Data!M22))</f>
        <v>0</v>
      </c>
      <c r="H24" s="31" t="n">
        <f aca="false">P2_Data!A19</f>
        <v>13</v>
      </c>
      <c r="I24" s="31" t="n">
        <f aca="false">P2_Data!H19</f>
        <v>6</v>
      </c>
      <c r="J24" s="33" t="n">
        <f aca="false">$I$5</f>
        <v>4.03333333333333</v>
      </c>
      <c r="K24" s="33" t="n">
        <f aca="false">MIN(7,$I$5+3*SQRT((1-$I$6)/$I$6^2))</f>
        <v>7</v>
      </c>
      <c r="L24" s="33" t="n">
        <f aca="false">MAX(0,$I$5-3*SQRT((1-$I$6)/$I$6^2))</f>
        <v>0</v>
      </c>
    </row>
    <row r="25" customFormat="false" ht="15" hidden="false" customHeight="true" outlineLevel="0" collapsed="false">
      <c r="A25" s="31" t="n">
        <f aca="false">P2_Data!A23</f>
        <v>17</v>
      </c>
      <c r="B25" s="28" t="n">
        <f aca="false">P2_Data!N23</f>
        <v>0.25</v>
      </c>
      <c r="C25" s="28" t="n">
        <f aca="false">$I$4</f>
        <v>0.198675496688742</v>
      </c>
      <c r="D25" s="28" t="n">
        <f aca="false">$I$4+3*SQRT($I$4/P2_Data!M23)</f>
        <v>0.867270940548232</v>
      </c>
      <c r="E25" s="28" t="n">
        <f aca="false">MAX(0,$I$4-3*SQRT($I$4/P2_Data!M23))</f>
        <v>0</v>
      </c>
      <c r="H25" s="31" t="n">
        <f aca="false">P2_Data!A20</f>
        <v>14</v>
      </c>
      <c r="I25" s="31" t="n">
        <f aca="false">P2_Data!H20</f>
        <v>5</v>
      </c>
      <c r="J25" s="33" t="n">
        <f aca="false">$I$5</f>
        <v>4.03333333333333</v>
      </c>
      <c r="K25" s="33" t="n">
        <f aca="false">MIN(7,$I$5+3*SQRT((1-$I$6)/$I$6^2))</f>
        <v>7</v>
      </c>
      <c r="L25" s="33" t="n">
        <f aca="false">MAX(0,$I$5-3*SQRT((1-$I$6)/$I$6^2))</f>
        <v>0</v>
      </c>
    </row>
    <row r="26" customFormat="false" ht="15" hidden="false" customHeight="true" outlineLevel="0" collapsed="false">
      <c r="A26" s="31" t="n">
        <f aca="false">P2_Data!A24</f>
        <v>18</v>
      </c>
      <c r="B26" s="28" t="n">
        <f aca="false">P2_Data!N24</f>
        <v>0.25</v>
      </c>
      <c r="C26" s="28" t="n">
        <f aca="false">$I$4</f>
        <v>0.198675496688742</v>
      </c>
      <c r="D26" s="28" t="n">
        <f aca="false">$I$4+3*SQRT($I$4/P2_Data!M24)</f>
        <v>0.867270940548232</v>
      </c>
      <c r="E26" s="28" t="n">
        <f aca="false">MAX(0,$I$4-3*SQRT($I$4/P2_Data!M24))</f>
        <v>0</v>
      </c>
      <c r="H26" s="31" t="n">
        <f aca="false">P2_Data!A21</f>
        <v>15</v>
      </c>
      <c r="I26" s="31" t="n">
        <f aca="false">P2_Data!H21</f>
        <v>4</v>
      </c>
      <c r="J26" s="33" t="n">
        <f aca="false">$I$5</f>
        <v>4.03333333333333</v>
      </c>
      <c r="K26" s="33" t="n">
        <f aca="false">MIN(7,$I$5+3*SQRT((1-$I$6)/$I$6^2))</f>
        <v>7</v>
      </c>
      <c r="L26" s="33" t="n">
        <f aca="false">MAX(0,$I$5-3*SQRT((1-$I$6)/$I$6^2))</f>
        <v>0</v>
      </c>
    </row>
    <row r="27" customFormat="false" ht="15" hidden="false" customHeight="true" outlineLevel="0" collapsed="false">
      <c r="A27" s="31" t="n">
        <f aca="false">P2_Data!A25</f>
        <v>19</v>
      </c>
      <c r="B27" s="28" t="n">
        <f aca="false">P2_Data!N25</f>
        <v>0.2</v>
      </c>
      <c r="C27" s="28" t="n">
        <f aca="false">$I$4</f>
        <v>0.198675496688742</v>
      </c>
      <c r="D27" s="28" t="n">
        <f aca="false">$I$4+3*SQRT($I$4/P2_Data!M25)</f>
        <v>0.796685441455328</v>
      </c>
      <c r="E27" s="28" t="n">
        <f aca="false">MAX(0,$I$4-3*SQRT($I$4/P2_Data!M25))</f>
        <v>0</v>
      </c>
      <c r="H27" s="31" t="n">
        <f aca="false">P2_Data!A22</f>
        <v>16</v>
      </c>
      <c r="I27" s="31" t="n">
        <f aca="false">P2_Data!H22</f>
        <v>4</v>
      </c>
      <c r="J27" s="33" t="n">
        <f aca="false">$I$5</f>
        <v>4.03333333333333</v>
      </c>
      <c r="K27" s="33" t="n">
        <f aca="false">MIN(7,$I$5+3*SQRT((1-$I$6)/$I$6^2))</f>
        <v>7</v>
      </c>
      <c r="L27" s="33" t="n">
        <f aca="false">MAX(0,$I$5-3*SQRT((1-$I$6)/$I$6^2))</f>
        <v>0</v>
      </c>
    </row>
    <row r="28" customFormat="false" ht="15" hidden="false" customHeight="true" outlineLevel="0" collapsed="false">
      <c r="A28" s="31" t="n">
        <f aca="false">P2_Data!A26</f>
        <v>20</v>
      </c>
      <c r="B28" s="28" t="n">
        <f aca="false">P2_Data!N26</f>
        <v>0.2</v>
      </c>
      <c r="C28" s="28" t="n">
        <f aca="false">$I$4</f>
        <v>0.198675496688742</v>
      </c>
      <c r="D28" s="28" t="n">
        <f aca="false">$I$4+3*SQRT($I$4/P2_Data!M26)</f>
        <v>0.796685441455328</v>
      </c>
      <c r="E28" s="28" t="n">
        <f aca="false">MAX(0,$I$4-3*SQRT($I$4/P2_Data!M26))</f>
        <v>0</v>
      </c>
      <c r="H28" s="31" t="n">
        <f aca="false">P2_Data!A23</f>
        <v>17</v>
      </c>
      <c r="I28" s="31" t="n">
        <f aca="false">P2_Data!H23</f>
        <v>3</v>
      </c>
      <c r="J28" s="33" t="n">
        <f aca="false">$I$5</f>
        <v>4.03333333333333</v>
      </c>
      <c r="K28" s="33" t="n">
        <f aca="false">MIN(7,$I$5+3*SQRT((1-$I$6)/$I$6^2))</f>
        <v>7</v>
      </c>
      <c r="L28" s="33" t="n">
        <f aca="false">MAX(0,$I$5-3*SQRT((1-$I$6)/$I$6^2))</f>
        <v>0</v>
      </c>
    </row>
    <row r="29" customFormat="false" ht="15" hidden="false" customHeight="true" outlineLevel="0" collapsed="false">
      <c r="A29" s="31" t="n">
        <f aca="false">P2_Data!A27</f>
        <v>21</v>
      </c>
      <c r="B29" s="28" t="n">
        <f aca="false">P2_Data!N27</f>
        <v>0.25</v>
      </c>
      <c r="C29" s="28" t="n">
        <f aca="false">$I$4</f>
        <v>0.198675496688742</v>
      </c>
      <c r="D29" s="28" t="n">
        <f aca="false">$I$4+3*SQRT($I$4/P2_Data!M27)</f>
        <v>0.867270940548232</v>
      </c>
      <c r="E29" s="28" t="n">
        <f aca="false">MAX(0,$I$4-3*SQRT($I$4/P2_Data!M27))</f>
        <v>0</v>
      </c>
      <c r="H29" s="31" t="n">
        <f aca="false">P2_Data!A24</f>
        <v>18</v>
      </c>
      <c r="I29" s="31" t="n">
        <f aca="false">P2_Data!H24</f>
        <v>3</v>
      </c>
      <c r="J29" s="33" t="n">
        <f aca="false">$I$5</f>
        <v>4.03333333333333</v>
      </c>
      <c r="K29" s="33" t="n">
        <f aca="false">MIN(7,$I$5+3*SQRT((1-$I$6)/$I$6^2))</f>
        <v>7</v>
      </c>
      <c r="L29" s="33" t="n">
        <f aca="false">MAX(0,$I$5-3*SQRT((1-$I$6)/$I$6^2))</f>
        <v>0</v>
      </c>
    </row>
    <row r="30" customFormat="false" ht="15" hidden="false" customHeight="true" outlineLevel="0" collapsed="false">
      <c r="A30" s="31" t="n">
        <f aca="false">P2_Data!A28</f>
        <v>22</v>
      </c>
      <c r="B30" s="28" t="n">
        <f aca="false">P2_Data!N28</f>
        <v>0.142857142857143</v>
      </c>
      <c r="C30" s="28" t="n">
        <f aca="false">$I$4</f>
        <v>0.198675496688742</v>
      </c>
      <c r="D30" s="28" t="n">
        <f aca="false">$I$4+3*SQRT($I$4/P2_Data!M28)</f>
        <v>0.704086145878187</v>
      </c>
      <c r="E30" s="28" t="n">
        <f aca="false">MAX(0,$I$4-3*SQRT($I$4/P2_Data!M28))</f>
        <v>0</v>
      </c>
      <c r="H30" s="31" t="n">
        <f aca="false">P2_Data!A25</f>
        <v>19</v>
      </c>
      <c r="I30" s="31" t="n">
        <f aca="false">P2_Data!H25</f>
        <v>4</v>
      </c>
      <c r="J30" s="33" t="n">
        <f aca="false">$I$5</f>
        <v>4.03333333333333</v>
      </c>
      <c r="K30" s="33" t="n">
        <f aca="false">MIN(7,$I$5+3*SQRT((1-$I$6)/$I$6^2))</f>
        <v>7</v>
      </c>
      <c r="L30" s="33" t="n">
        <f aca="false">MAX(0,$I$5-3*SQRT((1-$I$6)/$I$6^2))</f>
        <v>0</v>
      </c>
    </row>
    <row r="31" customFormat="false" ht="15" hidden="false" customHeight="true" outlineLevel="0" collapsed="false">
      <c r="A31" s="31" t="n">
        <f aca="false">P2_Data!A29</f>
        <v>23</v>
      </c>
      <c r="B31" s="28" t="n">
        <f aca="false">P2_Data!N29</f>
        <v>0.2</v>
      </c>
      <c r="C31" s="28" t="n">
        <f aca="false">$I$4</f>
        <v>0.198675496688742</v>
      </c>
      <c r="D31" s="28" t="n">
        <f aca="false">$I$4+3*SQRT($I$4/P2_Data!M29)</f>
        <v>0.796685441455328</v>
      </c>
      <c r="E31" s="28" t="n">
        <f aca="false">MAX(0,$I$4-3*SQRT($I$4/P2_Data!M29))</f>
        <v>0</v>
      </c>
      <c r="H31" s="31" t="n">
        <f aca="false">P2_Data!A26</f>
        <v>20</v>
      </c>
      <c r="I31" s="31" t="n">
        <f aca="false">P2_Data!H26</f>
        <v>4</v>
      </c>
      <c r="J31" s="33" t="n">
        <f aca="false">$I$5</f>
        <v>4.03333333333333</v>
      </c>
      <c r="K31" s="33" t="n">
        <f aca="false">MIN(7,$I$5+3*SQRT((1-$I$6)/$I$6^2))</f>
        <v>7</v>
      </c>
      <c r="L31" s="33" t="n">
        <f aca="false">MAX(0,$I$5-3*SQRT((1-$I$6)/$I$6^2))</f>
        <v>0</v>
      </c>
    </row>
    <row r="32" customFormat="false" ht="15" hidden="false" customHeight="true" outlineLevel="0" collapsed="false">
      <c r="A32" s="31" t="n">
        <f aca="false">P2_Data!A30</f>
        <v>24</v>
      </c>
      <c r="B32" s="28" t="n">
        <f aca="false">P2_Data!N30</f>
        <v>0.2</v>
      </c>
      <c r="C32" s="28" t="n">
        <f aca="false">$I$4</f>
        <v>0.198675496688742</v>
      </c>
      <c r="D32" s="28" t="n">
        <f aca="false">$I$4+3*SQRT($I$4/P2_Data!M30)</f>
        <v>0.796685441455328</v>
      </c>
      <c r="E32" s="28" t="n">
        <f aca="false">MAX(0,$I$4-3*SQRT($I$4/P2_Data!M30))</f>
        <v>0</v>
      </c>
      <c r="H32" s="31" t="n">
        <f aca="false">P2_Data!A27</f>
        <v>21</v>
      </c>
      <c r="I32" s="31" t="n">
        <f aca="false">P2_Data!H27</f>
        <v>3</v>
      </c>
      <c r="J32" s="33" t="n">
        <f aca="false">$I$5</f>
        <v>4.03333333333333</v>
      </c>
      <c r="K32" s="33" t="n">
        <f aca="false">MIN(7,$I$5+3*SQRT((1-$I$6)/$I$6^2))</f>
        <v>7</v>
      </c>
      <c r="L32" s="33" t="n">
        <f aca="false">MAX(0,$I$5-3*SQRT((1-$I$6)/$I$6^2))</f>
        <v>0</v>
      </c>
    </row>
    <row r="33" customFormat="false" ht="15" hidden="false" customHeight="true" outlineLevel="0" collapsed="false">
      <c r="A33" s="31" t="n">
        <f aca="false">P2_Data!A31</f>
        <v>25</v>
      </c>
      <c r="B33" s="28" t="n">
        <f aca="false">P2_Data!N31</f>
        <v>0.142857142857143</v>
      </c>
      <c r="C33" s="28" t="n">
        <f aca="false">$I$4</f>
        <v>0.198675496688742</v>
      </c>
      <c r="D33" s="28" t="n">
        <f aca="false">$I$4+3*SQRT($I$4/P2_Data!M31)</f>
        <v>0.704086145878187</v>
      </c>
      <c r="E33" s="28" t="n">
        <f aca="false">MAX(0,$I$4-3*SQRT($I$4/P2_Data!M31))</f>
        <v>0</v>
      </c>
      <c r="H33" s="31" t="n">
        <f aca="false">P2_Data!A28</f>
        <v>22</v>
      </c>
      <c r="I33" s="31" t="n">
        <f aca="false">P2_Data!H28</f>
        <v>6</v>
      </c>
      <c r="J33" s="33" t="n">
        <f aca="false">$I$5</f>
        <v>4.03333333333333</v>
      </c>
      <c r="K33" s="33" t="n">
        <f aca="false">MIN(7,$I$5+3*SQRT((1-$I$6)/$I$6^2))</f>
        <v>7</v>
      </c>
      <c r="L33" s="33" t="n">
        <f aca="false">MAX(0,$I$5-3*SQRT((1-$I$6)/$I$6^2))</f>
        <v>0</v>
      </c>
    </row>
    <row r="34" customFormat="false" ht="15" hidden="false" customHeight="true" outlineLevel="0" collapsed="false">
      <c r="A34" s="31" t="n">
        <f aca="false">P2_Data!A32</f>
        <v>26</v>
      </c>
      <c r="B34" s="28" t="n">
        <f aca="false">P2_Data!N32</f>
        <v>0.166666666666667</v>
      </c>
      <c r="C34" s="28" t="n">
        <f aca="false">$I$4</f>
        <v>0.198675496688742</v>
      </c>
      <c r="D34" s="28" t="n">
        <f aca="false">$I$4+3*SQRT($I$4/P2_Data!M32)</f>
        <v>0.744581390623871</v>
      </c>
      <c r="E34" s="28" t="n">
        <f aca="false">MAX(0,$I$4-3*SQRT($I$4/P2_Data!M32))</f>
        <v>0</v>
      </c>
      <c r="H34" s="31" t="n">
        <f aca="false">P2_Data!A29</f>
        <v>23</v>
      </c>
      <c r="I34" s="31" t="n">
        <f aca="false">P2_Data!H29</f>
        <v>4</v>
      </c>
      <c r="J34" s="33" t="n">
        <f aca="false">$I$5</f>
        <v>4.03333333333333</v>
      </c>
      <c r="K34" s="33" t="n">
        <f aca="false">MIN(7,$I$5+3*SQRT((1-$I$6)/$I$6^2))</f>
        <v>7</v>
      </c>
      <c r="L34" s="33" t="n">
        <f aca="false">MAX(0,$I$5-3*SQRT((1-$I$6)/$I$6^2))</f>
        <v>0</v>
      </c>
    </row>
    <row r="35" customFormat="false" ht="15" hidden="false" customHeight="true" outlineLevel="0" collapsed="false">
      <c r="A35" s="31" t="n">
        <f aca="false">P2_Data!A33</f>
        <v>27</v>
      </c>
      <c r="B35" s="28" t="n">
        <f aca="false">P2_Data!N33</f>
        <v>0.25</v>
      </c>
      <c r="C35" s="28" t="n">
        <f aca="false">$I$4</f>
        <v>0.198675496688742</v>
      </c>
      <c r="D35" s="28" t="n">
        <f aca="false">$I$4+3*SQRT($I$4/P2_Data!M33)</f>
        <v>0.867270940548232</v>
      </c>
      <c r="E35" s="28" t="n">
        <f aca="false">MAX(0,$I$4-3*SQRT($I$4/P2_Data!M33))</f>
        <v>0</v>
      </c>
      <c r="H35" s="31" t="n">
        <f aca="false">P2_Data!A30</f>
        <v>24</v>
      </c>
      <c r="I35" s="31" t="n">
        <f aca="false">P2_Data!H30</f>
        <v>4</v>
      </c>
      <c r="J35" s="33" t="n">
        <f aca="false">$I$5</f>
        <v>4.03333333333333</v>
      </c>
      <c r="K35" s="33" t="n">
        <f aca="false">MIN(7,$I$5+3*SQRT((1-$I$6)/$I$6^2))</f>
        <v>7</v>
      </c>
      <c r="L35" s="33" t="n">
        <f aca="false">MAX(0,$I$5-3*SQRT((1-$I$6)/$I$6^2))</f>
        <v>0</v>
      </c>
    </row>
    <row r="36" customFormat="false" ht="15" hidden="false" customHeight="true" outlineLevel="0" collapsed="false">
      <c r="A36" s="31" t="n">
        <f aca="false">P2_Data!A34</f>
        <v>28</v>
      </c>
      <c r="B36" s="28" t="n">
        <f aca="false">P2_Data!N34</f>
        <v>0.25</v>
      </c>
      <c r="C36" s="28" t="n">
        <f aca="false">$I$4</f>
        <v>0.198675496688742</v>
      </c>
      <c r="D36" s="28" t="n">
        <f aca="false">$I$4+3*SQRT($I$4/P2_Data!M34)</f>
        <v>0.867270940548232</v>
      </c>
      <c r="E36" s="28" t="n">
        <f aca="false">MAX(0,$I$4-3*SQRT($I$4/P2_Data!M34))</f>
        <v>0</v>
      </c>
      <c r="H36" s="31" t="n">
        <f aca="false">P2_Data!A31</f>
        <v>25</v>
      </c>
      <c r="I36" s="31" t="n">
        <f aca="false">P2_Data!H31</f>
        <v>6</v>
      </c>
      <c r="J36" s="33" t="n">
        <f aca="false">$I$5</f>
        <v>4.03333333333333</v>
      </c>
      <c r="K36" s="33" t="n">
        <f aca="false">MIN(7,$I$5+3*SQRT((1-$I$6)/$I$6^2))</f>
        <v>7</v>
      </c>
      <c r="L36" s="33" t="n">
        <f aca="false">MAX(0,$I$5-3*SQRT((1-$I$6)/$I$6^2))</f>
        <v>0</v>
      </c>
    </row>
    <row r="37" customFormat="false" ht="15" hidden="false" customHeight="true" outlineLevel="0" collapsed="false">
      <c r="A37" s="31" t="n">
        <f aca="false">P2_Data!A35</f>
        <v>29</v>
      </c>
      <c r="B37" s="28" t="n">
        <f aca="false">P2_Data!N35</f>
        <v>0.25</v>
      </c>
      <c r="C37" s="28" t="n">
        <f aca="false">$I$4</f>
        <v>0.198675496688742</v>
      </c>
      <c r="D37" s="28" t="n">
        <f aca="false">$I$4+3*SQRT($I$4/P2_Data!M35)</f>
        <v>0.867270940548232</v>
      </c>
      <c r="E37" s="28" t="n">
        <f aca="false">MAX(0,$I$4-3*SQRT($I$4/P2_Data!M35))</f>
        <v>0</v>
      </c>
      <c r="H37" s="31" t="n">
        <f aca="false">P2_Data!A32</f>
        <v>26</v>
      </c>
      <c r="I37" s="31" t="n">
        <f aca="false">P2_Data!H32</f>
        <v>5</v>
      </c>
      <c r="J37" s="33" t="n">
        <f aca="false">$I$5</f>
        <v>4.03333333333333</v>
      </c>
      <c r="K37" s="33" t="n">
        <f aca="false">MIN(7,$I$5+3*SQRT((1-$I$6)/$I$6^2))</f>
        <v>7</v>
      </c>
      <c r="L37" s="33" t="n">
        <f aca="false">MAX(0,$I$5-3*SQRT((1-$I$6)/$I$6^2))</f>
        <v>0</v>
      </c>
    </row>
    <row r="38" customFormat="false" ht="15" hidden="false" customHeight="true" outlineLevel="0" collapsed="false">
      <c r="A38" s="31" t="n">
        <f aca="false">P2_Data!A36</f>
        <v>30</v>
      </c>
      <c r="B38" s="28" t="n">
        <f aca="false">P2_Data!N36</f>
        <v>0.2</v>
      </c>
      <c r="C38" s="28" t="n">
        <f aca="false">$I$4</f>
        <v>0.198675496688742</v>
      </c>
      <c r="D38" s="28" t="n">
        <f aca="false">$I$4+3*SQRT($I$4/P2_Data!M36)</f>
        <v>0.796685441455328</v>
      </c>
      <c r="E38" s="28" t="n">
        <f aca="false">MAX(0,$I$4-3*SQRT($I$4/P2_Data!M36))</f>
        <v>0</v>
      </c>
      <c r="H38" s="31" t="n">
        <f aca="false">P2_Data!A33</f>
        <v>27</v>
      </c>
      <c r="I38" s="31" t="n">
        <f aca="false">P2_Data!H33</f>
        <v>3</v>
      </c>
      <c r="J38" s="33" t="n">
        <f aca="false">$I$5</f>
        <v>4.03333333333333</v>
      </c>
      <c r="K38" s="33" t="n">
        <f aca="false">MIN(7,$I$5+3*SQRT((1-$I$6)/$I$6^2))</f>
        <v>7</v>
      </c>
      <c r="L38" s="33" t="n">
        <f aca="false">MAX(0,$I$5-3*SQRT((1-$I$6)/$I$6^2))</f>
        <v>0</v>
      </c>
    </row>
    <row r="39" customFormat="false" ht="15" hidden="false" customHeight="true" outlineLevel="0" collapsed="false">
      <c r="H39" s="31" t="n">
        <f aca="false">P2_Data!A34</f>
        <v>28</v>
      </c>
      <c r="I39" s="31" t="n">
        <f aca="false">P2_Data!H34</f>
        <v>3</v>
      </c>
      <c r="J39" s="33" t="n">
        <f aca="false">$I$5</f>
        <v>4.03333333333333</v>
      </c>
      <c r="K39" s="33" t="n">
        <f aca="false">MIN(7,$I$5+3*SQRT((1-$I$6)/$I$6^2))</f>
        <v>7</v>
      </c>
      <c r="L39" s="33" t="n">
        <f aca="false">MAX(0,$I$5-3*SQRT((1-$I$6)/$I$6^2))</f>
        <v>0</v>
      </c>
    </row>
    <row r="40" customFormat="false" ht="15" hidden="false" customHeight="true" outlineLevel="0" collapsed="false">
      <c r="H40" s="31" t="n">
        <f aca="false">P2_Data!A35</f>
        <v>29</v>
      </c>
      <c r="I40" s="31" t="n">
        <f aca="false">P2_Data!H35</f>
        <v>3</v>
      </c>
      <c r="J40" s="33" t="n">
        <f aca="false">$I$5</f>
        <v>4.03333333333333</v>
      </c>
      <c r="K40" s="33" t="n">
        <f aca="false">MIN(7,$I$5+3*SQRT((1-$I$6)/$I$6^2))</f>
        <v>7</v>
      </c>
      <c r="L40" s="33" t="n">
        <f aca="false">MAX(0,$I$5-3*SQRT((1-$I$6)/$I$6^2))</f>
        <v>0</v>
      </c>
    </row>
    <row r="41" customFormat="false" ht="15" hidden="false" customHeight="true" outlineLevel="0" collapsed="false">
      <c r="H41" s="31" t="n">
        <f aca="false">P2_Data!A36</f>
        <v>30</v>
      </c>
      <c r="I41" s="31" t="n">
        <f aca="false">P2_Data!H36</f>
        <v>4</v>
      </c>
      <c r="J41" s="33" t="n">
        <f aca="false">$I$5</f>
        <v>4.03333333333333</v>
      </c>
      <c r="K41" s="33" t="n">
        <f aca="false">MIN(7,$I$5+3*SQRT((1-$I$6)/$I$6^2))</f>
        <v>7</v>
      </c>
      <c r="L41" s="33" t="n">
        <f aca="false">MAX(0,$I$5-3*SQRT((1-$I$6)/$I$6^2))</f>
        <v>0</v>
      </c>
    </row>
    <row r="56" customFormat="false" ht="15" hidden="false" customHeight="true" outlineLevel="0" collapsed="false">
      <c r="H56" s="6" t="s">
        <v>261</v>
      </c>
    </row>
    <row r="57" customFormat="false" ht="15" hidden="false" customHeight="true" outlineLevel="0" collapsed="false">
      <c r="H57" s="40" t="s">
        <v>262</v>
      </c>
      <c r="I57" s="40"/>
      <c r="J57" s="40"/>
      <c r="K57" s="40"/>
      <c r="L57" s="40"/>
    </row>
    <row r="58" customFormat="false" ht="15" hidden="false" customHeight="true" outlineLevel="0" collapsed="false">
      <c r="H58" s="40"/>
      <c r="I58" s="40"/>
      <c r="J58" s="40"/>
      <c r="K58" s="40"/>
      <c r="L58" s="40"/>
    </row>
    <row r="59" customFormat="false" ht="15" hidden="false" customHeight="true" outlineLevel="0" collapsed="false">
      <c r="H59" s="40"/>
      <c r="I59" s="40"/>
      <c r="J59" s="40"/>
      <c r="K59" s="40"/>
      <c r="L59" s="40"/>
    </row>
    <row r="60" customFormat="false" ht="15" hidden="false" customHeight="true" outlineLevel="0" collapsed="false">
      <c r="A60" s="6" t="s">
        <v>263</v>
      </c>
      <c r="H60" s="40"/>
      <c r="I60" s="40"/>
      <c r="J60" s="40"/>
      <c r="K60" s="40"/>
      <c r="L60" s="40"/>
    </row>
    <row r="61" customFormat="false" ht="15" hidden="false" customHeight="true" outlineLevel="0" collapsed="false">
      <c r="A61" s="29" t="s">
        <v>78</v>
      </c>
      <c r="B61" s="29" t="s">
        <v>264</v>
      </c>
      <c r="C61" s="29" t="s">
        <v>265</v>
      </c>
    </row>
    <row r="62" customFormat="false" ht="15" hidden="false" customHeight="true" outlineLevel="0" collapsed="false">
      <c r="A62" s="31" t="s">
        <v>126</v>
      </c>
      <c r="B62" s="31" t="n">
        <f aca="false">COUNTIF(P2_Data!$G$7:$G$36,A62)</f>
        <v>11</v>
      </c>
      <c r="C62" s="38" t="n">
        <f aca="false">SUM($B$62:B62)/30</f>
        <v>0.366666666666667</v>
      </c>
      <c r="H62" s="6" t="s">
        <v>266</v>
      </c>
    </row>
    <row r="63" customFormat="false" ht="15" hidden="false" customHeight="true" outlineLevel="0" collapsed="false">
      <c r="A63" s="31" t="s">
        <v>101</v>
      </c>
      <c r="B63" s="31" t="n">
        <f aca="false">COUNTIF(P2_Data!$G$7:$G$36,A63)</f>
        <v>11</v>
      </c>
      <c r="C63" s="38" t="n">
        <f aca="false">SUM($B$62:B63)/30</f>
        <v>0.733333333333333</v>
      </c>
      <c r="H63" s="9" t="s">
        <v>163</v>
      </c>
      <c r="I63" s="9" t="s">
        <v>164</v>
      </c>
      <c r="J63" s="9" t="s">
        <v>165</v>
      </c>
    </row>
    <row r="64" customFormat="false" ht="15" hidden="false" customHeight="true" outlineLevel="0" collapsed="false">
      <c r="A64" s="31" t="s">
        <v>112</v>
      </c>
      <c r="B64" s="31" t="n">
        <f aca="false">COUNTIF(P2_Data!$G$7:$G$36,A64)</f>
        <v>4</v>
      </c>
      <c r="C64" s="38" t="n">
        <f aca="false">SUM($B$62:B64)/30</f>
        <v>0.866666666666667</v>
      </c>
      <c r="H64" s="11" t="s">
        <v>166</v>
      </c>
      <c r="I64" s="11" t="s">
        <v>167</v>
      </c>
      <c r="J64" s="11" t="str">
        <f aca="false">IF(SUMPRODUCT((B9:B38&gt;D9:D38)*1)&gt;0,"YES","No")</f>
        <v>No</v>
      </c>
    </row>
    <row r="65" customFormat="false" ht="15" hidden="false" customHeight="true" outlineLevel="0" collapsed="false">
      <c r="A65" s="31" t="s">
        <v>121</v>
      </c>
      <c r="B65" s="31" t="n">
        <f aca="false">COUNTIF(P2_Data!$G$7:$G$36,A65)</f>
        <v>4</v>
      </c>
      <c r="C65" s="38" t="n">
        <f aca="false">SUM($B$62:B65)/30</f>
        <v>1</v>
      </c>
      <c r="H65" s="11" t="s">
        <v>168</v>
      </c>
      <c r="I65" s="11" t="s">
        <v>267</v>
      </c>
      <c r="J65" s="11" t="s">
        <v>172</v>
      </c>
    </row>
    <row r="66" customFormat="false" ht="15" hidden="false" customHeight="true" outlineLevel="0" collapsed="false">
      <c r="A66" s="31" t="s">
        <v>115</v>
      </c>
      <c r="B66" s="31" t="n">
        <f aca="false">COUNTIF(P2_Data!$G$7:$G$36,A66)</f>
        <v>0</v>
      </c>
      <c r="C66" s="38" t="n">
        <f aca="false">SUM($B$62:B66)/30</f>
        <v>1</v>
      </c>
      <c r="H66" s="11" t="s">
        <v>173</v>
      </c>
      <c r="I66" s="11" t="s">
        <v>268</v>
      </c>
      <c r="J66" s="11" t="str">
        <f aca="false">IF(MAX(FREQUENCY(IF(B9:B38&gt;C9:C38,ROW(B9:B38)),IF(B9:B38&lt;=C9:C38,ROW(B9:B38))))&gt;=8,"YES","No")</f>
        <v>No</v>
      </c>
    </row>
    <row r="67" customFormat="false" ht="15" hidden="false" customHeight="true" outlineLevel="0" collapsed="false">
      <c r="A67" s="31" t="s">
        <v>119</v>
      </c>
      <c r="B67" s="31" t="n">
        <f aca="false">COUNTIF(P2_Data!$G$7:$G$36,A67)</f>
        <v>0</v>
      </c>
      <c r="C67" s="38" t="n">
        <f aca="false">SUM($B$62:B67)/30</f>
        <v>1</v>
      </c>
    </row>
    <row r="68" customFormat="false" ht="15" hidden="false" customHeight="true" outlineLevel="0" collapsed="false">
      <c r="A68" s="31" t="s">
        <v>125</v>
      </c>
      <c r="B68" s="31" t="n">
        <f aca="false">COUNTIF(P2_Data!$G$7:$G$36,A68)</f>
        <v>0</v>
      </c>
      <c r="C68" s="38" t="n">
        <f aca="false">SUM($B$62:B68)/30</f>
        <v>1</v>
      </c>
    </row>
    <row r="85" customFormat="false" ht="15" hidden="false" customHeight="true" outlineLevel="0" collapsed="false">
      <c r="A85" s="8" t="s">
        <v>269</v>
      </c>
      <c r="B85" s="8"/>
      <c r="C85" s="8"/>
      <c r="D85" s="8"/>
      <c r="E85" s="8"/>
      <c r="F85" s="8"/>
      <c r="G85" s="8"/>
      <c r="H85" s="8"/>
      <c r="I85" s="8"/>
    </row>
    <row r="86" customFormat="false" ht="15" hidden="false" customHeight="true" outlineLevel="0" collapsed="false">
      <c r="A86" s="8"/>
      <c r="B86" s="8"/>
      <c r="C86" s="8"/>
      <c r="D86" s="8"/>
      <c r="E86" s="8"/>
      <c r="F86" s="8"/>
      <c r="G86" s="8"/>
      <c r="H86" s="8"/>
      <c r="I86" s="8"/>
    </row>
    <row r="87" customFormat="false" ht="15" hidden="false" customHeight="true" outlineLevel="0" collapsed="false">
      <c r="A87" s="8"/>
      <c r="B87" s="8"/>
      <c r="C87" s="8"/>
      <c r="D87" s="8"/>
      <c r="E87" s="8"/>
      <c r="F87" s="8"/>
      <c r="G87" s="8"/>
      <c r="H87" s="8"/>
      <c r="I87" s="8"/>
    </row>
    <row r="88" customFormat="false" ht="15" hidden="false" customHeight="true" outlineLevel="0" collapsed="false">
      <c r="A88" s="8"/>
      <c r="B88" s="8"/>
      <c r="C88" s="8"/>
      <c r="D88" s="8"/>
      <c r="E88" s="8"/>
      <c r="F88" s="8"/>
      <c r="G88" s="8"/>
      <c r="H88" s="8"/>
      <c r="I88" s="8"/>
    </row>
    <row r="89" customFormat="false" ht="15" hidden="false" customHeight="true" outlineLevel="0" collapsed="false">
      <c r="A89" s="8"/>
      <c r="B89" s="8"/>
      <c r="C89" s="8"/>
      <c r="D89" s="8"/>
      <c r="E89" s="8"/>
      <c r="F89" s="8"/>
      <c r="G89" s="8"/>
      <c r="H89" s="8"/>
      <c r="I89" s="8"/>
    </row>
    <row r="90" customFormat="false" ht="15" hidden="false" customHeight="true" outlineLevel="0" collapsed="false">
      <c r="A90" s="8"/>
      <c r="B90" s="8"/>
      <c r="C90" s="8"/>
      <c r="D90" s="8"/>
      <c r="E90" s="8"/>
      <c r="F90" s="8"/>
      <c r="G90" s="8"/>
      <c r="H90" s="8"/>
      <c r="I90" s="8"/>
    </row>
    <row r="91" customFormat="false" ht="15" hidden="false" customHeight="true" outlineLevel="0" collapsed="false">
      <c r="A91" s="8"/>
      <c r="B91" s="8"/>
      <c r="C91" s="8"/>
      <c r="D91" s="8"/>
      <c r="E91" s="8"/>
      <c r="F91" s="8"/>
      <c r="G91" s="8"/>
      <c r="H91" s="8"/>
      <c r="I91" s="8"/>
    </row>
    <row r="92" customFormat="false" ht="15" hidden="false" customHeight="true" outlineLevel="0" collapsed="false">
      <c r="A92" s="8"/>
      <c r="B92" s="8"/>
      <c r="C92" s="8"/>
      <c r="D92" s="8"/>
      <c r="E92" s="8"/>
      <c r="F92" s="8"/>
      <c r="G92" s="8"/>
      <c r="H92" s="8"/>
      <c r="I92" s="8"/>
    </row>
    <row r="95" customFormat="false" ht="15" hidden="false" customHeight="true" outlineLevel="0" collapsed="false">
      <c r="A95" s="6" t="s">
        <v>270</v>
      </c>
    </row>
    <row r="96" customFormat="false" ht="23.25" hidden="false" customHeight="true" outlineLevel="0" collapsed="false">
      <c r="A96" s="29" t="s">
        <v>187</v>
      </c>
      <c r="B96" s="29" t="s">
        <v>188</v>
      </c>
      <c r="C96" s="29" t="s">
        <v>189</v>
      </c>
      <c r="D96" s="29" t="s">
        <v>190</v>
      </c>
      <c r="E96" s="29" t="s">
        <v>191</v>
      </c>
      <c r="F96" s="29" t="s">
        <v>192</v>
      </c>
      <c r="G96" s="29" t="s">
        <v>193</v>
      </c>
    </row>
    <row r="97" customFormat="false" ht="34.5" hidden="false" customHeight="true" outlineLevel="0" collapsed="false">
      <c r="A97" s="11" t="s">
        <v>271</v>
      </c>
      <c r="B97" s="11" t="s">
        <v>272</v>
      </c>
      <c r="C97" s="11" t="s">
        <v>245</v>
      </c>
      <c r="D97" s="11" t="s">
        <v>273</v>
      </c>
      <c r="E97" s="11" t="s">
        <v>197</v>
      </c>
      <c r="F97" s="11" t="s">
        <v>274</v>
      </c>
      <c r="G97" s="11" t="s">
        <v>275</v>
      </c>
    </row>
    <row r="98" customFormat="false" ht="23.25" hidden="false" customHeight="true" outlineLevel="0" collapsed="false">
      <c r="A98" s="11" t="s">
        <v>276</v>
      </c>
      <c r="B98" s="11" t="s">
        <v>277</v>
      </c>
      <c r="C98" s="11" t="s">
        <v>109</v>
      </c>
      <c r="D98" s="11" t="s">
        <v>278</v>
      </c>
      <c r="E98" s="11" t="s">
        <v>197</v>
      </c>
      <c r="F98" s="11" t="s">
        <v>209</v>
      </c>
      <c r="G98" s="11" t="s">
        <v>279</v>
      </c>
    </row>
    <row r="99" customFormat="false" ht="23.25" hidden="false" customHeight="true" outlineLevel="0" collapsed="false">
      <c r="A99" s="11" t="s">
        <v>280</v>
      </c>
      <c r="B99" s="11" t="s">
        <v>281</v>
      </c>
      <c r="C99" s="11" t="s">
        <v>282</v>
      </c>
      <c r="D99" s="11" t="s">
        <v>283</v>
      </c>
      <c r="E99" s="11" t="s">
        <v>197</v>
      </c>
      <c r="F99" s="11" t="s">
        <v>284</v>
      </c>
      <c r="G99" s="11" t="s">
        <v>285</v>
      </c>
    </row>
    <row r="100" customFormat="false" ht="23.25" hidden="false" customHeight="true" outlineLevel="0" collapsed="false">
      <c r="A100" s="11" t="s">
        <v>286</v>
      </c>
      <c r="B100" s="11" t="s">
        <v>287</v>
      </c>
      <c r="C100" s="11" t="s">
        <v>288</v>
      </c>
      <c r="D100" s="11" t="s">
        <v>289</v>
      </c>
      <c r="E100" s="11" t="s">
        <v>220</v>
      </c>
      <c r="F100" s="11" t="s">
        <v>290</v>
      </c>
      <c r="G100" s="11" t="s">
        <v>291</v>
      </c>
    </row>
  </sheetData>
  <mergeCells count="2">
    <mergeCell ref="H57:L60"/>
    <mergeCell ref="A85:I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0"/>
    <col collapsed="false" customWidth="true" hidden="false" outlineLevel="0" max="5" min="5" style="1" width="3"/>
    <col collapsed="false" customWidth="true" hidden="false" outlineLevel="0" max="6" min="6" style="1" width="26"/>
    <col collapsed="false" customWidth="true" hidden="false" outlineLevel="0" max="7" min="7" style="1" width="10"/>
    <col collapsed="false" customWidth="true" hidden="false" outlineLevel="0" max="9" min="8" style="1" width="14"/>
  </cols>
  <sheetData>
    <row r="1" customFormat="false" ht="17.25" hidden="false" customHeight="true" outlineLevel="0" collapsed="false">
      <c r="A1" s="2" t="s">
        <v>292</v>
      </c>
    </row>
    <row r="3" customFormat="false" ht="15" hidden="false" customHeight="true" outlineLevel="0" collapsed="false">
      <c r="A3" s="6" t="s">
        <v>293</v>
      </c>
      <c r="F3" s="6" t="s">
        <v>294</v>
      </c>
    </row>
    <row r="4" customFormat="false" ht="15" hidden="false" customHeight="true" outlineLevel="0" collapsed="false">
      <c r="A4" s="29" t="s">
        <v>295</v>
      </c>
      <c r="B4" s="29" t="s">
        <v>296</v>
      </c>
      <c r="C4" s="29" t="s">
        <v>297</v>
      </c>
      <c r="D4" s="29" t="s">
        <v>298</v>
      </c>
      <c r="F4" s="5" t="s">
        <v>299</v>
      </c>
    </row>
    <row r="5" customFormat="false" ht="15" hidden="false" customHeight="true" outlineLevel="0" collapsed="false">
      <c r="A5" s="26" t="s">
        <v>135</v>
      </c>
      <c r="B5" s="31" t="n">
        <f aca="false">SUM(P1_Data!K7:K48)</f>
        <v>76</v>
      </c>
      <c r="C5" s="31" t="n">
        <f aca="false">SUM(P2_Data!J7:J36)</f>
        <v>30</v>
      </c>
      <c r="F5" s="31" t="s">
        <v>300</v>
      </c>
      <c r="G5" s="41" t="n">
        <v>2</v>
      </c>
    </row>
    <row r="6" customFormat="false" ht="15" hidden="false" customHeight="true" outlineLevel="0" collapsed="false">
      <c r="A6" s="26" t="s">
        <v>254</v>
      </c>
      <c r="B6" s="31" t="n">
        <f aca="false">SUM(P1_Data!J7:J48)</f>
        <v>210</v>
      </c>
      <c r="C6" s="31" t="n">
        <f aca="false">SUM(P2_Data!M7:M36)</f>
        <v>151</v>
      </c>
      <c r="F6" s="31" t="s">
        <v>301</v>
      </c>
      <c r="G6" s="41" t="n">
        <v>5</v>
      </c>
    </row>
    <row r="7" customFormat="false" ht="15" hidden="false" customHeight="true" outlineLevel="0" collapsed="false">
      <c r="A7" s="26" t="s">
        <v>302</v>
      </c>
      <c r="B7" s="28" t="n">
        <f aca="false">B5/B6</f>
        <v>0.361904761904762</v>
      </c>
      <c r="C7" s="28" t="n">
        <f aca="false">C5/C6</f>
        <v>0.198675496688742</v>
      </c>
      <c r="D7" s="4" t="str">
        <f aca="false">IF(B7&lt;C7,"P1","P2")</f>
        <v>P2</v>
      </c>
      <c r="F7" s="31" t="s">
        <v>303</v>
      </c>
      <c r="G7" s="41" t="n">
        <v>20</v>
      </c>
    </row>
    <row r="8" customFormat="false" ht="15" hidden="false" customHeight="true" outlineLevel="0" collapsed="false">
      <c r="A8" s="26" t="s">
        <v>304</v>
      </c>
      <c r="B8" s="42" t="n">
        <f aca="false">B7*1000000</f>
        <v>361904.761904762</v>
      </c>
      <c r="C8" s="42" t="n">
        <f aca="false">C7*1000000</f>
        <v>198675.496688742</v>
      </c>
      <c r="D8" s="4" t="str">
        <f aca="false">IF(B8&lt;C8,"P1","P2")</f>
        <v>P2</v>
      </c>
      <c r="F8" s="31" t="s">
        <v>305</v>
      </c>
      <c r="G8" s="41" t="n">
        <v>25</v>
      </c>
    </row>
    <row r="9" customFormat="false" ht="15" hidden="false" customHeight="true" outlineLevel="0" collapsed="false">
      <c r="A9" s="26" t="s">
        <v>306</v>
      </c>
      <c r="B9" s="42" t="n">
        <v>308537</v>
      </c>
      <c r="C9" s="42" t="n">
        <v>308537</v>
      </c>
      <c r="F9" s="31" t="s">
        <v>307</v>
      </c>
      <c r="G9" s="41" t="n">
        <v>0</v>
      </c>
    </row>
    <row r="10" customFormat="false" ht="15" hidden="false" customHeight="true" outlineLevel="0" collapsed="false">
      <c r="A10" s="26" t="s">
        <v>308</v>
      </c>
      <c r="B10" s="31" t="str">
        <f aca="false">IF(B8&lt;B9,"YES","NO")</f>
        <v>NO</v>
      </c>
      <c r="C10" s="31" t="str">
        <f aca="false">IF(C8&lt;C9,"YES","NO")</f>
        <v>YES</v>
      </c>
      <c r="F10" s="31" t="s">
        <v>309</v>
      </c>
      <c r="G10" s="41" t="n">
        <v>0</v>
      </c>
    </row>
    <row r="11" customFormat="false" ht="15" hidden="false" customHeight="true" outlineLevel="0" collapsed="false">
      <c r="F11" s="31" t="s">
        <v>310</v>
      </c>
      <c r="G11" s="41" t="n">
        <v>15</v>
      </c>
    </row>
    <row r="12" customFormat="false" ht="15" hidden="false" customHeight="true" outlineLevel="0" collapsed="false">
      <c r="A12" s="39" t="s">
        <v>311</v>
      </c>
      <c r="B12" s="39"/>
      <c r="C12" s="39"/>
      <c r="D12" s="39"/>
      <c r="F12" s="31" t="s">
        <v>312</v>
      </c>
      <c r="G12" s="41" t="n">
        <v>9.21</v>
      </c>
    </row>
    <row r="14" customFormat="false" ht="15" hidden="false" customHeight="true" outlineLevel="0" collapsed="false">
      <c r="A14" s="6" t="s">
        <v>313</v>
      </c>
    </row>
    <row r="15" customFormat="false" ht="15" hidden="false" customHeight="true" outlineLevel="0" collapsed="false">
      <c r="A15" s="26" t="s">
        <v>314</v>
      </c>
      <c r="B15" s="31" t="n">
        <f aca="false">B5</f>
        <v>76</v>
      </c>
      <c r="F15" s="29" t="s">
        <v>315</v>
      </c>
      <c r="G15" s="29" t="s">
        <v>296</v>
      </c>
      <c r="H15" s="29" t="s">
        <v>297</v>
      </c>
    </row>
    <row r="16" customFormat="false" ht="15" hidden="false" customHeight="true" outlineLevel="0" collapsed="false">
      <c r="A16" s="26" t="s">
        <v>316</v>
      </c>
      <c r="B16" s="31" t="n">
        <f aca="false">B6</f>
        <v>210</v>
      </c>
      <c r="F16" s="26" t="s">
        <v>317</v>
      </c>
      <c r="H16" s="31" t="n">
        <f aca="false">B6</f>
        <v>210</v>
      </c>
      <c r="I16" s="31" t="n">
        <f aca="false">C6</f>
        <v>151</v>
      </c>
    </row>
    <row r="17" customFormat="false" ht="15" hidden="false" customHeight="true" outlineLevel="0" collapsed="false">
      <c r="A17" s="26" t="s">
        <v>318</v>
      </c>
      <c r="B17" s="31" t="n">
        <f aca="false">C5</f>
        <v>30</v>
      </c>
      <c r="F17" s="26" t="s">
        <v>319</v>
      </c>
      <c r="H17" s="42" t="n">
        <f aca="false">H16*G5</f>
        <v>420</v>
      </c>
      <c r="I17" s="42" t="n">
        <f aca="false">I16*G5</f>
        <v>302</v>
      </c>
    </row>
    <row r="18" customFormat="false" ht="15" hidden="false" customHeight="true" outlineLevel="0" collapsed="false">
      <c r="A18" s="26" t="s">
        <v>320</v>
      </c>
      <c r="B18" s="31" t="n">
        <f aca="false">C6</f>
        <v>151</v>
      </c>
      <c r="F18" s="26" t="s">
        <v>321</v>
      </c>
      <c r="H18" s="42" t="n">
        <f aca="false">0</f>
        <v>0</v>
      </c>
      <c r="I18" s="42" t="n">
        <f aca="false">SUM(P2_Data!K7:K36)*G7</f>
        <v>600</v>
      </c>
    </row>
    <row r="19" customFormat="false" ht="15" hidden="false" customHeight="true" outlineLevel="0" collapsed="false">
      <c r="A19" s="26" t="s">
        <v>322</v>
      </c>
      <c r="B19" s="27" t="n">
        <f aca="false">B15/B16</f>
        <v>0.361904761904762</v>
      </c>
      <c r="F19" s="26" t="s">
        <v>323</v>
      </c>
      <c r="H19" s="42" t="n">
        <f aca="false">G9*G8</f>
        <v>0</v>
      </c>
      <c r="I19" s="42" t="n">
        <f aca="false">G10*G8</f>
        <v>0</v>
      </c>
    </row>
    <row r="20" customFormat="false" ht="15" hidden="false" customHeight="true" outlineLevel="0" collapsed="false">
      <c r="A20" s="26" t="s">
        <v>324</v>
      </c>
      <c r="B20" s="27" t="n">
        <f aca="false">B17/B18</f>
        <v>0.198675496688742</v>
      </c>
      <c r="F20" s="26" t="s">
        <v>325</v>
      </c>
      <c r="H20" s="42" t="n">
        <f aca="false">H17+H18</f>
        <v>420</v>
      </c>
      <c r="I20" s="42" t="n">
        <f aca="false">I17+I18</f>
        <v>902</v>
      </c>
    </row>
    <row r="21" customFormat="false" ht="15" hidden="false" customHeight="true" outlineLevel="0" collapsed="false">
      <c r="A21" s="26" t="s">
        <v>326</v>
      </c>
      <c r="B21" s="27" t="n">
        <f aca="false">(B15+B17)/(B16+B18)</f>
        <v>0.293628808864266</v>
      </c>
      <c r="F21" s="26" t="s">
        <v>327</v>
      </c>
      <c r="H21" s="42" t="n">
        <f aca="false">H19-H20</f>
        <v>-420</v>
      </c>
      <c r="I21" s="42" t="n">
        <f aca="false">I19-I20</f>
        <v>-902</v>
      </c>
    </row>
    <row r="22" customFormat="false" ht="15" hidden="false" customHeight="true" outlineLevel="0" collapsed="false">
      <c r="A22" s="26" t="s">
        <v>147</v>
      </c>
      <c r="B22" s="27" t="n">
        <f aca="false">SQRT(B21*(1-B21)*(1/B16+1/B18))</f>
        <v>0.0485927302160014</v>
      </c>
      <c r="F22" s="26" t="s">
        <v>328</v>
      </c>
      <c r="H22" s="31" t="n">
        <f aca="false">G9</f>
        <v>0</v>
      </c>
      <c r="I22" s="31" t="n">
        <f aca="false">G10</f>
        <v>0</v>
      </c>
    </row>
    <row r="23" customFormat="false" ht="15" hidden="false" customHeight="true" outlineLevel="0" collapsed="false">
      <c r="A23" s="26" t="s">
        <v>329</v>
      </c>
      <c r="B23" s="43" t="n">
        <f aca="false">(B19-B20)/B22</f>
        <v>3.35912932840867</v>
      </c>
      <c r="F23" s="26" t="s">
        <v>330</v>
      </c>
      <c r="H23" s="28" t="n">
        <f aca="false">B7</f>
        <v>0.361904761904762</v>
      </c>
      <c r="I23" s="28" t="n">
        <f aca="false">C7</f>
        <v>0.198675496688742</v>
      </c>
    </row>
    <row r="24" customFormat="false" ht="15" hidden="false" customHeight="true" outlineLevel="0" collapsed="false">
      <c r="A24" s="26" t="s">
        <v>331</v>
      </c>
      <c r="B24" s="32" t="n">
        <f aca="false">2*(1-NORMSDIST(ABS(B23)))</f>
        <v>0.000781884663944688</v>
      </c>
    </row>
    <row r="25" customFormat="false" ht="15" hidden="false" customHeight="true" outlineLevel="0" collapsed="false">
      <c r="A25" s="26" t="s">
        <v>332</v>
      </c>
      <c r="B25" s="31" t="str">
        <f aca="false">IF(B24&lt;0.05,"Reject H0","Fail to reject H0")</f>
        <v>Reject H0</v>
      </c>
    </row>
    <row r="26" customFormat="false" ht="15" hidden="false" customHeight="true" outlineLevel="0" collapsed="false">
      <c r="A26" s="8" t="s">
        <v>333</v>
      </c>
      <c r="B26" s="8"/>
      <c r="C26" s="8"/>
      <c r="D26" s="8"/>
    </row>
    <row r="27" customFormat="false" ht="15" hidden="false" customHeight="true" outlineLevel="0" collapsed="false">
      <c r="A27" s="8"/>
      <c r="B27" s="8"/>
      <c r="C27" s="8"/>
      <c r="D27" s="8"/>
    </row>
    <row r="28" customFormat="false" ht="15" hidden="false" customHeight="true" outlineLevel="0" collapsed="false">
      <c r="A28" s="8"/>
      <c r="B28" s="8"/>
      <c r="C28" s="8"/>
      <c r="D28" s="8"/>
    </row>
    <row r="29" customFormat="false" ht="15" hidden="false" customHeight="true" outlineLevel="0" collapsed="false">
      <c r="A29" s="8"/>
      <c r="B29" s="8"/>
      <c r="C29" s="8"/>
      <c r="D29" s="8"/>
    </row>
    <row r="30" customFormat="false" ht="15" hidden="false" customHeight="true" outlineLevel="0" collapsed="false">
      <c r="A30" s="8"/>
      <c r="B30" s="8"/>
      <c r="C30" s="8"/>
      <c r="D30" s="8"/>
    </row>
    <row r="40" customFormat="false" ht="15" hidden="false" customHeight="true" outlineLevel="0" collapsed="false">
      <c r="A40" s="3" t="s">
        <v>334</v>
      </c>
    </row>
    <row r="41" customFormat="false" ht="15" hidden="false" customHeight="true" outlineLevel="0" collapsed="false">
      <c r="A41" s="29" t="s">
        <v>295</v>
      </c>
      <c r="B41" s="29" t="s">
        <v>296</v>
      </c>
      <c r="C41" s="29" t="s">
        <v>297</v>
      </c>
    </row>
    <row r="42" customFormat="false" ht="15" hidden="false" customHeight="true" outlineLevel="0" collapsed="false">
      <c r="A42" s="44" t="s">
        <v>304</v>
      </c>
      <c r="B42" s="45" t="n">
        <f aca="false">B8</f>
        <v>361904.761904762</v>
      </c>
      <c r="C42" s="45" t="n">
        <f aca="false">C8</f>
        <v>198675.496688742</v>
      </c>
    </row>
    <row r="43" customFormat="false" ht="15" hidden="false" customHeight="true" outlineLevel="0" collapsed="false">
      <c r="A43" s="44" t="s">
        <v>330</v>
      </c>
      <c r="B43" s="46" t="n">
        <f aca="false">B7</f>
        <v>0.361904761904762</v>
      </c>
      <c r="C43" s="46" t="n">
        <f aca="false">C7</f>
        <v>0.198675496688742</v>
      </c>
    </row>
    <row r="44" customFormat="false" ht="15" hidden="false" customHeight="true" outlineLevel="0" collapsed="false">
      <c r="A44" s="44" t="s">
        <v>335</v>
      </c>
      <c r="B44" s="45" t="n">
        <f aca="false">H20</f>
        <v>420</v>
      </c>
      <c r="C44" s="45" t="n">
        <f aca="false">I20</f>
        <v>902</v>
      </c>
    </row>
  </sheetData>
  <mergeCells count="2">
    <mergeCell ref="A12:D12"/>
    <mergeCell ref="A26: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22"/>
    <col collapsed="false" customWidth="true" hidden="false" outlineLevel="0" max="4" min="4" style="1" width="12"/>
    <col collapsed="false" customWidth="true" hidden="false" outlineLevel="0" max="5" min="5" style="1" width="3"/>
    <col collapsed="false" customWidth="true" hidden="false" outlineLevel="0" max="6" min="6" style="1" width="14"/>
    <col collapsed="false" customWidth="true" hidden="false" outlineLevel="0" max="7" min="7" style="1" width="10"/>
    <col collapsed="false" customWidth="true" hidden="false" outlineLevel="0" max="8" min="8" style="1" width="22"/>
    <col collapsed="false" customWidth="true" hidden="false" outlineLevel="0" max="9" min="9" style="1" width="16"/>
  </cols>
  <sheetData>
    <row r="1" customFormat="false" ht="17.25" hidden="false" customHeight="true" outlineLevel="0" collapsed="false">
      <c r="A1" s="2" t="s">
        <v>336</v>
      </c>
    </row>
    <row r="2" customFormat="false" ht="15" hidden="false" customHeight="true" outlineLevel="0" collapsed="false">
      <c r="A2" s="5" t="s">
        <v>1</v>
      </c>
    </row>
    <row r="4" customFormat="false" ht="15" hidden="false" customHeight="true" outlineLevel="0" collapsed="false">
      <c r="A4" s="47" t="s">
        <v>337</v>
      </c>
      <c r="B4" s="47"/>
      <c r="D4" s="47" t="s">
        <v>338</v>
      </c>
      <c r="E4" s="47"/>
      <c r="G4" s="47" t="s">
        <v>339</v>
      </c>
      <c r="H4" s="47"/>
    </row>
    <row r="5" customFormat="false" ht="19.5" hidden="false" customHeight="true" outlineLevel="0" collapsed="false">
      <c r="A5" s="48" t="n">
        <f aca="false">Comparison_DPMO_Cost!B7</f>
        <v>0.361904761904762</v>
      </c>
      <c r="B5" s="48"/>
      <c r="D5" s="48" t="n">
        <f aca="false">Comparison_DPMO_Cost!C7</f>
        <v>0.198675496688742</v>
      </c>
      <c r="E5" s="48"/>
      <c r="G5" s="49" t="n">
        <f aca="false">Comparison_DPMO_Cost!B8</f>
        <v>361904.761904762</v>
      </c>
      <c r="H5" s="49"/>
    </row>
    <row r="7" customFormat="false" ht="15" hidden="false" customHeight="true" outlineLevel="0" collapsed="false">
      <c r="A7" s="47" t="s">
        <v>340</v>
      </c>
      <c r="B7" s="47"/>
      <c r="D7" s="47" t="s">
        <v>341</v>
      </c>
      <c r="E7" s="47"/>
      <c r="G7" s="47" t="s">
        <v>342</v>
      </c>
      <c r="H7" s="47"/>
    </row>
    <row r="8" customFormat="false" ht="19.5" hidden="false" customHeight="true" outlineLevel="0" collapsed="false">
      <c r="A8" s="49" t="n">
        <f aca="false">Comparison_DPMO_Cost!C8</f>
        <v>198675.496688742</v>
      </c>
      <c r="B8" s="49"/>
      <c r="D8" s="50" t="n">
        <f aca="false">Comparison_DPMO_Cost!B23</f>
        <v>3.35912932840867</v>
      </c>
      <c r="E8" s="50"/>
      <c r="G8" s="51" t="n">
        <f aca="false">Comparison_DPMO_Cost!B24</f>
        <v>0.000781884663944688</v>
      </c>
      <c r="H8" s="51"/>
    </row>
    <row r="11" customFormat="false" ht="15" hidden="false" customHeight="true" outlineLevel="0" collapsed="false">
      <c r="A11" s="6" t="s">
        <v>343</v>
      </c>
      <c r="F11" s="6" t="s">
        <v>344</v>
      </c>
    </row>
    <row r="12" customFormat="false" ht="15" hidden="false" customHeight="true" outlineLevel="0" collapsed="false">
      <c r="A12" s="29" t="s">
        <v>345</v>
      </c>
      <c r="B12" s="29" t="s">
        <v>296</v>
      </c>
      <c r="C12" s="29" t="s">
        <v>297</v>
      </c>
      <c r="D12" s="29" t="s">
        <v>298</v>
      </c>
      <c r="F12" s="9" t="s">
        <v>22</v>
      </c>
      <c r="G12" s="9" t="s">
        <v>20</v>
      </c>
      <c r="H12" s="9" t="s">
        <v>346</v>
      </c>
    </row>
    <row r="13" customFormat="false" ht="34.5" hidden="false" customHeight="true" outlineLevel="0" collapsed="false">
      <c r="A13" s="10" t="s">
        <v>330</v>
      </c>
      <c r="B13" s="52" t="n">
        <f aca="false">Comparison_DPMO_Cost!B7</f>
        <v>0.361904761904762</v>
      </c>
      <c r="C13" s="52" t="n">
        <f aca="false">Comparison_DPMO_Cost!C7</f>
        <v>0.198675496688742</v>
      </c>
      <c r="D13" s="11" t="str">
        <f aca="false">IF(B13&lt;C13,"P1","P2")</f>
        <v>P2</v>
      </c>
      <c r="F13" s="10" t="s">
        <v>26</v>
      </c>
      <c r="G13" s="11" t="s">
        <v>24</v>
      </c>
      <c r="H13" s="11" t="s">
        <v>347</v>
      </c>
    </row>
    <row r="14" customFormat="false" ht="23.25" hidden="false" customHeight="true" outlineLevel="0" collapsed="false">
      <c r="A14" s="10" t="s">
        <v>304</v>
      </c>
      <c r="B14" s="53" t="n">
        <f aca="false">Comparison_DPMO_Cost!B8</f>
        <v>361904.761904762</v>
      </c>
      <c r="C14" s="53" t="n">
        <f aca="false">Comparison_DPMO_Cost!C8</f>
        <v>198675.496688742</v>
      </c>
      <c r="D14" s="11" t="str">
        <f aca="false">IF(B14&lt;C14,"P1","P2")</f>
        <v>P2</v>
      </c>
      <c r="F14" s="10" t="s">
        <v>28</v>
      </c>
      <c r="G14" s="11" t="s">
        <v>24</v>
      </c>
      <c r="H14" s="11" t="s">
        <v>348</v>
      </c>
    </row>
    <row r="15" customFormat="false" ht="23.25" hidden="false" customHeight="true" outlineLevel="0" collapsed="false">
      <c r="A15" s="10" t="s">
        <v>349</v>
      </c>
      <c r="B15" s="11" t="str">
        <f aca="false">Comparison_DPMO_Cost!B10</f>
        <v>NO</v>
      </c>
      <c r="C15" s="11" t="str">
        <f aca="false">Comparison_DPMO_Cost!C10</f>
        <v>YES</v>
      </c>
      <c r="D15" s="11" t="s">
        <v>350</v>
      </c>
      <c r="F15" s="10" t="s">
        <v>31</v>
      </c>
      <c r="G15" s="11" t="s">
        <v>351</v>
      </c>
      <c r="H15" s="11" t="s">
        <v>352</v>
      </c>
    </row>
    <row r="16" customFormat="false" ht="23.25" hidden="false" customHeight="true" outlineLevel="0" collapsed="false">
      <c r="A16" s="10" t="s">
        <v>353</v>
      </c>
      <c r="B16" s="11" t="s">
        <v>354</v>
      </c>
      <c r="C16" s="11" t="s">
        <v>355</v>
      </c>
      <c r="D16" s="11" t="s">
        <v>350</v>
      </c>
      <c r="F16" s="10" t="s">
        <v>35</v>
      </c>
      <c r="G16" s="11" t="s">
        <v>33</v>
      </c>
      <c r="H16" s="11" t="s">
        <v>356</v>
      </c>
    </row>
    <row r="17" customFormat="false" ht="23.25" hidden="false" customHeight="true" outlineLevel="0" collapsed="false">
      <c r="A17" s="10" t="s">
        <v>357</v>
      </c>
      <c r="B17" s="11" t="n">
        <f aca="false">Comparison_DPMO_Cost!G9</f>
        <v>0</v>
      </c>
      <c r="C17" s="11" t="n">
        <f aca="false">Comparison_DPMO_Cost!G10</f>
        <v>0</v>
      </c>
      <c r="D17" s="11" t="s">
        <v>350</v>
      </c>
      <c r="F17" s="10" t="s">
        <v>358</v>
      </c>
      <c r="G17" s="11" t="s">
        <v>33</v>
      </c>
      <c r="H17" s="11" t="s">
        <v>359</v>
      </c>
    </row>
    <row r="20" customFormat="false" ht="15" hidden="false" customHeight="true" outlineLevel="0" collapsed="false">
      <c r="A20" s="6" t="s">
        <v>8</v>
      </c>
      <c r="F20" s="6" t="s">
        <v>360</v>
      </c>
    </row>
    <row r="21" customFormat="false" ht="23.25" hidden="false" customHeight="true" outlineLevel="0" collapsed="false">
      <c r="A21" s="9" t="s">
        <v>9</v>
      </c>
      <c r="B21" s="9" t="s">
        <v>361</v>
      </c>
      <c r="C21" s="9"/>
      <c r="D21" s="9"/>
      <c r="F21" s="7" t="s">
        <v>362</v>
      </c>
      <c r="G21" s="7"/>
      <c r="H21" s="7"/>
      <c r="I21" s="7"/>
    </row>
    <row r="22" customFormat="false" ht="23.25" hidden="false" customHeight="true" outlineLevel="0" collapsed="false">
      <c r="A22" s="10" t="s">
        <v>11</v>
      </c>
      <c r="B22" s="11" t="s">
        <v>363</v>
      </c>
      <c r="C22" s="11"/>
      <c r="D22" s="11"/>
      <c r="F22" s="7" t="s">
        <v>364</v>
      </c>
      <c r="G22" s="7"/>
      <c r="H22" s="7"/>
      <c r="I22" s="7"/>
    </row>
    <row r="23" customFormat="false" ht="23.25" hidden="false" customHeight="true" outlineLevel="0" collapsed="false">
      <c r="A23" s="10" t="s">
        <v>13</v>
      </c>
      <c r="B23" s="11" t="s">
        <v>365</v>
      </c>
      <c r="C23" s="11"/>
      <c r="D23" s="11"/>
      <c r="F23" s="7" t="s">
        <v>366</v>
      </c>
      <c r="G23" s="7"/>
      <c r="H23" s="7"/>
      <c r="I23" s="7"/>
    </row>
    <row r="24" customFormat="false" ht="15" hidden="false" customHeight="true" outlineLevel="0" collapsed="false">
      <c r="A24" s="10" t="s">
        <v>15</v>
      </c>
      <c r="B24" s="11" t="s">
        <v>367</v>
      </c>
      <c r="C24" s="11"/>
      <c r="D24" s="11"/>
    </row>
    <row r="25" customFormat="false" ht="15" hidden="false" customHeight="true" outlineLevel="0" collapsed="false">
      <c r="A25" s="10" t="s">
        <v>17</v>
      </c>
      <c r="B25" s="11" t="s">
        <v>368</v>
      </c>
      <c r="C25" s="11"/>
      <c r="D25" s="11"/>
    </row>
    <row r="28" customFormat="false" ht="15" hidden="false" customHeight="true" outlineLevel="0" collapsed="false">
      <c r="A28" s="6" t="s">
        <v>369</v>
      </c>
    </row>
    <row r="29" customFormat="false" ht="15" hidden="false" customHeight="true" outlineLevel="0" collapsed="false">
      <c r="A29" s="54" t="s">
        <v>370</v>
      </c>
      <c r="B29" s="54"/>
      <c r="C29" s="54"/>
      <c r="D29" s="54"/>
      <c r="E29" s="54"/>
      <c r="F29" s="54"/>
      <c r="G29" s="54"/>
      <c r="H29" s="54"/>
      <c r="I29" s="54"/>
    </row>
    <row r="30" customFormat="false" ht="15" hidden="false" customHeight="true" outlineLevel="0" collapsed="false">
      <c r="A30" s="54"/>
      <c r="B30" s="54"/>
      <c r="C30" s="54"/>
      <c r="D30" s="54"/>
      <c r="E30" s="54"/>
      <c r="F30" s="54"/>
      <c r="G30" s="54"/>
      <c r="H30" s="54"/>
      <c r="I30" s="54"/>
    </row>
    <row r="31" customFormat="false" ht="15" hidden="false" customHeight="true" outlineLevel="0" collapsed="false">
      <c r="A31" s="54"/>
      <c r="B31" s="54"/>
      <c r="C31" s="54"/>
      <c r="D31" s="54"/>
      <c r="E31" s="54"/>
      <c r="F31" s="54"/>
      <c r="G31" s="54"/>
      <c r="H31" s="54"/>
      <c r="I31" s="54"/>
    </row>
    <row r="32" customFormat="false" ht="15" hidden="false" customHeight="true" outlineLevel="0" collapsed="false">
      <c r="A32" s="54"/>
      <c r="B32" s="54"/>
      <c r="C32" s="54"/>
      <c r="D32" s="54"/>
      <c r="E32" s="54"/>
      <c r="F32" s="54"/>
      <c r="G32" s="54"/>
      <c r="H32" s="54"/>
      <c r="I32" s="54"/>
    </row>
    <row r="33" customFormat="false" ht="15" hidden="false" customHeight="true" outlineLevel="0" collapsed="false">
      <c r="A33" s="54"/>
      <c r="B33" s="54"/>
      <c r="C33" s="54"/>
      <c r="D33" s="54"/>
      <c r="E33" s="54"/>
      <c r="F33" s="54"/>
      <c r="G33" s="54"/>
      <c r="H33" s="54"/>
      <c r="I33" s="54"/>
    </row>
    <row r="34" customFormat="false" ht="15" hidden="false" customHeight="true" outlineLevel="0" collapsed="false">
      <c r="A34" s="54"/>
      <c r="B34" s="54"/>
      <c r="C34" s="54"/>
      <c r="D34" s="54"/>
      <c r="E34" s="54"/>
      <c r="F34" s="54"/>
      <c r="G34" s="54"/>
      <c r="H34" s="54"/>
      <c r="I34" s="54"/>
    </row>
    <row r="35" customFormat="false" ht="15" hidden="false" customHeight="true" outlineLevel="0" collapsed="false">
      <c r="A35" s="54"/>
      <c r="B35" s="54"/>
      <c r="C35" s="54"/>
      <c r="D35" s="54"/>
      <c r="E35" s="54"/>
      <c r="F35" s="54"/>
      <c r="G35" s="54"/>
      <c r="H35" s="54"/>
      <c r="I35" s="54"/>
    </row>
    <row r="36" customFormat="false" ht="15" hidden="false" customHeight="true" outlineLevel="0" collapsed="false">
      <c r="A36" s="54"/>
      <c r="B36" s="54"/>
      <c r="C36" s="54"/>
      <c r="D36" s="54"/>
      <c r="E36" s="54"/>
      <c r="F36" s="54"/>
      <c r="G36" s="54"/>
      <c r="H36" s="54"/>
      <c r="I36" s="54"/>
    </row>
    <row r="37" customFormat="false" ht="15" hidden="false" customHeight="true" outlineLevel="0" collapsed="false">
      <c r="A37" s="54"/>
      <c r="B37" s="54"/>
      <c r="C37" s="54"/>
      <c r="D37" s="54"/>
      <c r="E37" s="54"/>
      <c r="F37" s="54"/>
      <c r="G37" s="54"/>
      <c r="H37" s="54"/>
      <c r="I37" s="54"/>
    </row>
    <row r="38" customFormat="false" ht="15" hidden="false" customHeight="true" outlineLevel="0" collapsed="false">
      <c r="A38" s="54"/>
      <c r="B38" s="54"/>
      <c r="C38" s="54"/>
      <c r="D38" s="54"/>
      <c r="E38" s="54"/>
      <c r="F38" s="54"/>
      <c r="G38" s="54"/>
      <c r="H38" s="54"/>
      <c r="I38" s="54"/>
    </row>
    <row r="40" customFormat="false" ht="15" hidden="false" customHeight="true" outlineLevel="0" collapsed="false">
      <c r="A40" s="6" t="s">
        <v>371</v>
      </c>
    </row>
    <row r="41" customFormat="false" ht="15" hidden="false" customHeight="true" outlineLevel="0" collapsed="false">
      <c r="A41" s="7" t="s">
        <v>372</v>
      </c>
      <c r="B41" s="7"/>
      <c r="C41" s="7"/>
      <c r="D41" s="7"/>
      <c r="E41" s="7"/>
      <c r="F41" s="7"/>
      <c r="G41" s="7"/>
      <c r="H41" s="7"/>
      <c r="I41" s="7"/>
    </row>
    <row r="42" customFormat="false" ht="15" hidden="false" customHeight="true" outlineLevel="0" collapsed="false">
      <c r="A42" s="7" t="s">
        <v>373</v>
      </c>
      <c r="B42" s="7"/>
      <c r="C42" s="7"/>
      <c r="D42" s="7"/>
      <c r="E42" s="7"/>
      <c r="F42" s="7"/>
      <c r="G42" s="7"/>
      <c r="H42" s="7"/>
      <c r="I42" s="7"/>
    </row>
    <row r="43" customFormat="false" ht="15" hidden="false" customHeight="true" outlineLevel="0" collapsed="false">
      <c r="A43" s="7" t="s">
        <v>374</v>
      </c>
      <c r="B43" s="7"/>
      <c r="C43" s="7"/>
      <c r="D43" s="7"/>
      <c r="E43" s="7"/>
      <c r="F43" s="7"/>
      <c r="G43" s="7"/>
      <c r="H43" s="7"/>
      <c r="I43" s="7"/>
    </row>
    <row r="44" customFormat="false" ht="15" hidden="false" customHeight="true" outlineLevel="0" collapsed="false">
      <c r="A44" s="7" t="s">
        <v>375</v>
      </c>
      <c r="B44" s="7"/>
      <c r="C44" s="7"/>
      <c r="D44" s="7"/>
      <c r="E44" s="7"/>
      <c r="F44" s="7"/>
      <c r="G44" s="7"/>
      <c r="H44" s="7"/>
      <c r="I44" s="7"/>
    </row>
  </sheetData>
  <mergeCells count="25">
    <mergeCell ref="A4:B4"/>
    <mergeCell ref="D4:E4"/>
    <mergeCell ref="G4:H4"/>
    <mergeCell ref="A5:B5"/>
    <mergeCell ref="D5:E5"/>
    <mergeCell ref="G5:H5"/>
    <mergeCell ref="A7:B7"/>
    <mergeCell ref="D7:E7"/>
    <mergeCell ref="G7:H7"/>
    <mergeCell ref="A8:B8"/>
    <mergeCell ref="D8:E8"/>
    <mergeCell ref="G8:H8"/>
    <mergeCell ref="B21:D21"/>
    <mergeCell ref="F21:I21"/>
    <mergeCell ref="B22:D22"/>
    <mergeCell ref="F22:I22"/>
    <mergeCell ref="B23:D23"/>
    <mergeCell ref="F23:I23"/>
    <mergeCell ref="B24:D24"/>
    <mergeCell ref="B25:D25"/>
    <mergeCell ref="A29:I38"/>
    <mergeCell ref="A41:I41"/>
    <mergeCell ref="A42:I42"/>
    <mergeCell ref="A43:I43"/>
    <mergeCell ref="A44:I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2026-05-29T19:15:16Z</dcterms:created>
  <dc:creator>Nthabiseng Maoka</dc:creator>
  <dc:description/>
  <cp:keywords>INGB413 GA4 SPC Tangra Inc DPMO p-chart np-chart g-chart u-chart</cp:keywords>
  <dc:language>en-US</dc:language>
  <cp:lastModifiedBy/>
  <dcterms:modified xsi:type="dcterms:W3CDTF">2026-05-29T19:50:36Z</dcterms:modified>
  <cp:revision>7</cp:revision>
  <dc:subject>Statistical Process Control and Process Capability Analysis</dc:subject>
  <dc:title>INGB413 GA Quality Assurance — Tangra Inc. Workbook</dc:title>
</cp:coreProperties>
</file>

<file path=docProps/custom.xml><?xml version="1.0" encoding="utf-8"?>
<Properties xmlns="http://schemas.openxmlformats.org/officeDocument/2006/custom-properties" xmlns:vt="http://schemas.openxmlformats.org/officeDocument/2006/docPropsVTypes"/>
</file>