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_GA4" sheetId="1" state="visible" r:id="rId1"/>
    <sheet name="P1_Data" sheetId="2" state="visible" r:id="rId2"/>
    <sheet name="P1_Analysis" sheetId="3" state="visible" r:id="rId3"/>
    <sheet name="P2_Data" sheetId="4" state="visible" r:id="rId4"/>
    <sheet name="P2_Analysis" sheetId="5" state="visible" r:id="rId5"/>
    <sheet name="Comparison_DPMO_Cost" sheetId="6" state="visible" r:id="rId6"/>
    <sheet name="Dashboard_Report_Tables" sheetId="7" state="visible" r:id="rId7"/>
  </sheets>
  <definedNames>
    <definedName name="_xlnm._FilterDatabase" localSheetId="1" hidden="1">'P1_Data'!$A$6:$X$48</definedName>
    <definedName name="_xlnm._FilterDatabase" localSheetId="3" hidden="1">'P2_Data'!$A$6:$S$36</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0.000"/>
    <numFmt numFmtId="165" formatCode="0.0000"/>
    <numFmt numFmtId="166" formatCode="0.0%"/>
  </numFmts>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b val="1"/>
      <sz val="10"/>
    </font>
    <font>
      <name val="Arial"/>
      <charset val="1"/>
      <family val="0"/>
      <sz val="10"/>
    </font>
    <font>
      <name val="Arial"/>
      <charset val="1"/>
      <family val="0"/>
      <i val="1"/>
      <color rgb="FF555555"/>
      <sz val="9"/>
    </font>
    <font>
      <name val="Arial"/>
      <charset val="1"/>
      <family val="0"/>
      <b val="1"/>
      <color rgb="FF1F4E78"/>
      <sz val="11"/>
    </font>
    <font>
      <name val="Arial"/>
      <charset val="1"/>
      <family val="0"/>
      <b val="1"/>
      <color rgb="FFFFFFFF"/>
      <sz val="10"/>
    </font>
    <font>
      <name val="Arial"/>
      <charset val="1"/>
      <family val="0"/>
      <b val="1"/>
      <color rgb="FF1F4E78"/>
      <sz val="13"/>
    </font>
    <font>
      <name val="Arial"/>
      <charset val="1"/>
      <family val="0"/>
      <b val="1"/>
      <color rgb="FFFFFFFF"/>
      <sz val="9"/>
    </font>
    <font>
      <name val="Arial"/>
      <charset val="1"/>
      <family val="0"/>
      <sz val="9"/>
    </font>
    <font>
      <name val="Arial"/>
      <charset val="1"/>
      <family val="0"/>
      <b val="1"/>
      <sz val="9"/>
    </font>
    <font>
      <name val="Arial"/>
      <charset val="1"/>
      <family val="0"/>
      <i val="1"/>
      <color rgb="FFC00000"/>
      <sz val="9"/>
    </font>
    <font>
      <name val="Calibri"/>
      <family val="2"/>
      <b val="1"/>
      <color rgb="FF000000"/>
      <sz val="18"/>
    </font>
    <font>
      <name val="Calibri"/>
      <family val="2"/>
      <color rgb="FF000000"/>
      <sz val="10"/>
    </font>
    <font>
      <name val="Calibri"/>
      <family val="2"/>
      <b val="1"/>
      <color rgb="FF000000"/>
      <sz val="10"/>
    </font>
    <font>
      <name val="Arial"/>
      <charset val="1"/>
      <family val="0"/>
      <color rgb="FF0000FF"/>
      <sz val="10"/>
    </font>
    <font>
      <name val="Arial"/>
      <charset val="1"/>
      <family val="0"/>
      <b val="1"/>
      <color rgb="FF1F4E78"/>
      <sz val="16"/>
    </font>
    <font>
      <b val="1"/>
      <color rgb="00FFFFFF"/>
    </font>
  </fonts>
  <fills count="11">
    <fill>
      <patternFill/>
    </fill>
    <fill>
      <patternFill patternType="gray125"/>
    </fill>
    <fill>
      <patternFill patternType="solid">
        <fgColor rgb="FFFFF2CC"/>
        <bgColor rgb="FFFFFFCC"/>
      </patternFill>
    </fill>
    <fill>
      <patternFill patternType="solid">
        <fgColor rgb="FF1F4E78"/>
        <bgColor rgb="FF003366"/>
      </patternFill>
    </fill>
    <fill>
      <patternFill patternType="solid">
        <fgColor rgb="FFE2EFDA"/>
        <bgColor rgb="FFDDEBF7"/>
      </patternFill>
    </fill>
    <fill>
      <patternFill patternType="solid">
        <fgColor rgb="FFFCE4D6"/>
        <bgColor rgb="FFFFF2CC"/>
      </patternFill>
    </fill>
    <fill>
      <patternFill patternType="solid">
        <fgColor rgb="FFF8CBAD"/>
        <bgColor rgb="FFFCE4D6"/>
      </patternFill>
    </fill>
    <fill>
      <patternFill patternType="solid">
        <fgColor rgb="FFD9D9D9"/>
        <bgColor rgb="FFDDEBF7"/>
      </patternFill>
    </fill>
    <fill>
      <patternFill patternType="solid">
        <fgColor rgb="FFFFFFCC"/>
        <bgColor rgb="FFFFF2CC"/>
      </patternFill>
    </fill>
    <fill>
      <patternFill patternType="solid">
        <fgColor rgb="FFDDEBF7"/>
        <bgColor rgb="FFE2EFDA"/>
      </patternFill>
    </fill>
    <fill>
      <patternFill patternType="solid">
        <fgColor rgb="001F4E78"/>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6" fillId="0" borderId="0" applyAlignment="1" pivotButton="0" quotePrefix="0" xfId="0">
      <alignment horizontal="general" vertical="top" wrapText="1"/>
    </xf>
    <xf numFmtId="0" fontId="6" fillId="2" borderId="0" applyAlignment="1" pivotButton="0" quotePrefix="0" xfId="0">
      <alignment horizontal="general" vertical="top" wrapText="1"/>
    </xf>
    <xf numFmtId="0" fontId="9" fillId="3" borderId="1" applyAlignment="1" pivotButton="0" quotePrefix="0" xfId="0">
      <alignment horizontal="general" vertical="top" wrapText="1"/>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6" fillId="0" borderId="0" applyAlignment="1" pivotButton="0" quotePrefix="0" xfId="0">
      <alignment horizontal="general" vertical="bottom"/>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11" fillId="3" borderId="1" applyAlignment="1" pivotButton="0" quotePrefix="0" xfId="0">
      <alignment horizontal="center" vertical="bottom" wrapText="1"/>
    </xf>
    <xf numFmtId="0" fontId="12" fillId="0" borderId="1" applyAlignment="1" pivotButton="0" quotePrefix="0" xfId="0">
      <alignment horizontal="general" vertical="bottom"/>
    </xf>
    <xf numFmtId="0" fontId="12" fillId="4" borderId="1" applyAlignment="1" pivotButton="0" quotePrefix="0" xfId="0">
      <alignment horizontal="general" vertical="bottom"/>
    </xf>
    <xf numFmtId="0" fontId="12" fillId="5" borderId="1" applyAlignment="1" pivotButton="0" quotePrefix="0" xfId="0">
      <alignment horizontal="general" vertical="bottom"/>
    </xf>
    <xf numFmtId="164" fontId="12" fillId="0" borderId="1" applyAlignment="1" pivotButton="0" quotePrefix="0" xfId="0">
      <alignment horizontal="general" vertical="bottom"/>
    </xf>
    <xf numFmtId="0" fontId="12" fillId="6" borderId="1" applyAlignment="1" pivotButton="0" quotePrefix="0" xfId="0">
      <alignment horizontal="general" vertical="bottom"/>
    </xf>
    <xf numFmtId="0" fontId="13" fillId="7" borderId="1" applyAlignment="1" pivotButton="0" quotePrefix="0" xfId="0">
      <alignment horizontal="general" vertical="bottom"/>
    </xf>
    <xf numFmtId="0" fontId="13" fillId="0" borderId="0" applyAlignment="1" pivotButton="0" quotePrefix="0" xfId="0">
      <alignment horizontal="general" vertical="bottom"/>
    </xf>
    <xf numFmtId="0" fontId="12" fillId="4" borderId="0" applyAlignment="1" pivotButton="0" quotePrefix="0" xfId="0">
      <alignment horizontal="general" vertical="bottom"/>
    </xf>
    <xf numFmtId="0" fontId="12" fillId="5" borderId="0" applyAlignment="1" pivotButton="0" quotePrefix="0" xfId="0">
      <alignment horizontal="general" vertical="bottom"/>
    </xf>
    <xf numFmtId="0" fontId="12" fillId="6" borderId="0" applyAlignment="1" pivotButton="0" quotePrefix="0" xfId="0">
      <alignment horizontal="general" vertical="bottom"/>
    </xf>
    <xf numFmtId="0" fontId="5" fillId="0" borderId="1" applyAlignment="1" pivotButton="0" quotePrefix="0" xfId="0">
      <alignment horizontal="general" vertical="bottom"/>
    </xf>
    <xf numFmtId="165" fontId="6" fillId="0" borderId="1" applyAlignment="1" pivotButton="0" quotePrefix="0" xfId="0">
      <alignment horizontal="general" vertical="bottom"/>
    </xf>
    <xf numFmtId="164" fontId="6" fillId="0" borderId="1" applyAlignment="1" pivotButton="0" quotePrefix="0" xfId="0">
      <alignment horizontal="general" vertical="bottom"/>
    </xf>
    <xf numFmtId="0" fontId="9" fillId="3" borderId="1" applyAlignment="1" pivotButton="0" quotePrefix="0" xfId="0">
      <alignment horizontal="center" vertical="bottom" wrapText="1"/>
    </xf>
    <xf numFmtId="0" fontId="9" fillId="0" borderId="0" applyAlignment="1" pivotButton="0" quotePrefix="0" xfId="0">
      <alignment horizontal="general" vertical="bottom"/>
    </xf>
    <xf numFmtId="0" fontId="6" fillId="0" borderId="1" applyAlignment="1" pivotButton="0" quotePrefix="0" xfId="0">
      <alignment horizontal="general" vertical="bottom"/>
    </xf>
    <xf numFmtId="165" fontId="6" fillId="2" borderId="1" applyAlignment="1" pivotButton="0" quotePrefix="0" xfId="0">
      <alignment horizontal="general" vertical="bottom"/>
    </xf>
    <xf numFmtId="2" fontId="6" fillId="0" borderId="1" applyAlignment="1" pivotButton="0" quotePrefix="0" xfId="0">
      <alignment horizontal="general" vertical="bottom"/>
    </xf>
    <xf numFmtId="165" fontId="6" fillId="4" borderId="1" applyAlignment="1" pivotButton="0" quotePrefix="0" xfId="0">
      <alignment horizontal="general" vertical="bottom"/>
    </xf>
    <xf numFmtId="164" fontId="9" fillId="3" borderId="1" applyAlignment="1" pivotButton="0" quotePrefix="0" xfId="0">
      <alignment horizontal="center" vertical="bottom" wrapText="1"/>
    </xf>
    <xf numFmtId="0" fontId="8" fillId="0" borderId="1" applyAlignment="1" pivotButton="0" quotePrefix="0" xfId="0">
      <alignment horizontal="general" vertical="bottom"/>
    </xf>
    <xf numFmtId="2" fontId="9" fillId="3" borderId="1" applyAlignment="1" pivotButton="0" quotePrefix="0" xfId="0">
      <alignment horizontal="center" vertical="bottom" wrapText="1"/>
    </xf>
    <xf numFmtId="9" fontId="6" fillId="0" borderId="1" applyAlignment="1" pivotButton="0" quotePrefix="0" xfId="0">
      <alignment horizontal="general" vertical="bottom"/>
    </xf>
    <xf numFmtId="0" fontId="7" fillId="0" borderId="0" applyAlignment="1" pivotButton="0" quotePrefix="0" xfId="0">
      <alignment horizontal="general" vertical="bottom"/>
    </xf>
    <xf numFmtId="0" fontId="14" fillId="0" borderId="0" applyAlignment="1" pivotButton="0" quotePrefix="0" xfId="0">
      <alignment horizontal="general" vertical="top" wrapText="1"/>
    </xf>
    <xf numFmtId="0" fontId="18" fillId="8" borderId="1" applyAlignment="1" pivotButton="0" quotePrefix="0" xfId="0">
      <alignment horizontal="general" vertical="bottom"/>
    </xf>
    <xf numFmtId="3" fontId="6" fillId="0" borderId="1" applyAlignment="1" pivotButton="0" quotePrefix="0" xfId="0">
      <alignment horizontal="general" vertical="bottom"/>
    </xf>
    <xf numFmtId="164" fontId="6" fillId="2" borderId="1" applyAlignment="1" pivotButton="0" quotePrefix="0" xfId="0">
      <alignment horizontal="general" vertical="bottom"/>
    </xf>
    <xf numFmtId="0" fontId="0" fillId="0" borderId="1" applyAlignment="1" pivotButton="0" quotePrefix="0" xfId="0">
      <alignment horizontal="general" vertical="bottom"/>
    </xf>
    <xf numFmtId="3" fontId="0" fillId="0" borderId="1" applyAlignment="1" pivotButton="0" quotePrefix="0" xfId="0">
      <alignment horizontal="general" vertical="bottom"/>
    </xf>
    <xf numFmtId="164" fontId="0" fillId="0" borderId="1" applyAlignment="1" pivotButton="0" quotePrefix="0" xfId="0">
      <alignment horizontal="general" vertical="bottom"/>
    </xf>
    <xf numFmtId="0" fontId="5" fillId="9" borderId="1" applyAlignment="1" pivotButton="0" quotePrefix="0" xfId="0">
      <alignment horizontal="general" vertical="bottom"/>
    </xf>
    <xf numFmtId="166" fontId="19" fillId="0" borderId="1" applyAlignment="1" pivotButton="0" quotePrefix="0" xfId="0">
      <alignment horizontal="general" vertical="bottom"/>
    </xf>
    <xf numFmtId="3" fontId="19" fillId="0" borderId="1" applyAlignment="1" pivotButton="0" quotePrefix="0" xfId="0">
      <alignment horizontal="general" vertical="bottom"/>
    </xf>
    <xf numFmtId="164" fontId="19" fillId="0" borderId="1" applyAlignment="1" pivotButton="0" quotePrefix="0" xfId="0">
      <alignment horizontal="general" vertical="bottom"/>
    </xf>
    <xf numFmtId="165" fontId="19" fillId="0" borderId="1" applyAlignment="1" pivotButton="0" quotePrefix="0" xfId="0">
      <alignment horizontal="general" vertical="bottom"/>
    </xf>
    <xf numFmtId="164" fontId="6" fillId="0" borderId="1" applyAlignment="1" pivotButton="0" quotePrefix="0" xfId="0">
      <alignment horizontal="general" vertical="top" wrapText="1"/>
    </xf>
    <xf numFmtId="3" fontId="6" fillId="0" borderId="1" applyAlignment="1" pivotButton="0" quotePrefix="0" xfId="0">
      <alignment horizontal="general" vertical="top" wrapText="1"/>
    </xf>
    <xf numFmtId="0" fontId="6" fillId="4"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6" fillId="0" borderId="0" applyAlignment="1" pivotButton="0" quotePrefix="0" xfId="0">
      <alignment horizontal="general" vertical="top" wrapText="1"/>
    </xf>
    <xf numFmtId="0" fontId="6" fillId="2" borderId="0" applyAlignment="1" pivotButton="0" quotePrefix="0" xfId="0">
      <alignment horizontal="general" vertical="top" wrapText="1"/>
    </xf>
    <xf numFmtId="0" fontId="9" fillId="3" borderId="1" applyAlignment="1" pivotButton="0" quotePrefix="0" xfId="0">
      <alignment horizontal="general" vertical="top" wrapText="1"/>
    </xf>
    <xf numFmtId="0" fontId="0" fillId="0" borderId="4" pivotButton="0" quotePrefix="0" xfId="0"/>
    <xf numFmtId="0" fontId="0" fillId="0" borderId="5" pivotButton="0" quotePrefix="0" xfId="0"/>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11" fillId="3" borderId="1" applyAlignment="1" pivotButton="0" quotePrefix="0" xfId="0">
      <alignment horizontal="center" vertical="bottom" wrapText="1"/>
    </xf>
    <xf numFmtId="0" fontId="12" fillId="0" borderId="1" applyAlignment="1" pivotButton="0" quotePrefix="0" xfId="0">
      <alignment horizontal="general" vertical="bottom"/>
    </xf>
    <xf numFmtId="0" fontId="12" fillId="4" borderId="1" applyAlignment="1" pivotButton="0" quotePrefix="0" xfId="0">
      <alignment horizontal="general" vertical="bottom"/>
    </xf>
    <xf numFmtId="0" fontId="12" fillId="5" borderId="1" applyAlignment="1" pivotButton="0" quotePrefix="0" xfId="0">
      <alignment horizontal="general" vertical="bottom"/>
    </xf>
    <xf numFmtId="164" fontId="12" fillId="0" borderId="1" applyAlignment="1" pivotButton="0" quotePrefix="0" xfId="0">
      <alignment horizontal="general" vertical="bottom"/>
    </xf>
    <xf numFmtId="0" fontId="12" fillId="6" borderId="1" applyAlignment="1" pivotButton="0" quotePrefix="0" xfId="0">
      <alignment horizontal="general" vertical="bottom"/>
    </xf>
    <xf numFmtId="0" fontId="13" fillId="7" borderId="1" applyAlignment="1" pivotButton="0" quotePrefix="0" xfId="0">
      <alignment horizontal="general" vertical="bottom"/>
    </xf>
    <xf numFmtId="0" fontId="13" fillId="0" borderId="0" applyAlignment="1" pivotButton="0" quotePrefix="0" xfId="0">
      <alignment horizontal="general" vertical="bottom"/>
    </xf>
    <xf numFmtId="0" fontId="12" fillId="4" borderId="0" applyAlignment="1" pivotButton="0" quotePrefix="0" xfId="0">
      <alignment horizontal="general" vertical="bottom"/>
    </xf>
    <xf numFmtId="0" fontId="12" fillId="5" borderId="0" applyAlignment="1" pivotButton="0" quotePrefix="0" xfId="0">
      <alignment horizontal="general" vertical="bottom"/>
    </xf>
    <xf numFmtId="0" fontId="12" fillId="6" borderId="0" applyAlignment="1" pivotButton="0" quotePrefix="0" xfId="0">
      <alignment horizontal="general" vertical="bottom"/>
    </xf>
    <xf numFmtId="0" fontId="5" fillId="0" borderId="1" applyAlignment="1" pivotButton="0" quotePrefix="0" xfId="0">
      <alignment horizontal="general" vertical="bottom"/>
    </xf>
    <xf numFmtId="165" fontId="6" fillId="0" borderId="1" applyAlignment="1" pivotButton="0" quotePrefix="0" xfId="0">
      <alignment horizontal="general" vertical="bottom"/>
    </xf>
    <xf numFmtId="164" fontId="6" fillId="0" borderId="1" applyAlignment="1" pivotButton="0" quotePrefix="0" xfId="0">
      <alignment horizontal="general" vertical="bottom"/>
    </xf>
    <xf numFmtId="0" fontId="9" fillId="3" borderId="1" applyAlignment="1" pivotButton="0" quotePrefix="0" xfId="0">
      <alignment horizontal="center" vertical="bottom" wrapText="1"/>
    </xf>
    <xf numFmtId="0" fontId="9" fillId="0" borderId="0" applyAlignment="1" pivotButton="0" quotePrefix="0" xfId="0">
      <alignment horizontal="general" vertical="bottom"/>
    </xf>
    <xf numFmtId="0" fontId="6" fillId="0" borderId="1" applyAlignment="1" pivotButton="0" quotePrefix="0" xfId="0">
      <alignment horizontal="general" vertical="bottom"/>
    </xf>
    <xf numFmtId="165" fontId="6" fillId="2" borderId="1" applyAlignment="1" pivotButton="0" quotePrefix="0" xfId="0">
      <alignment horizontal="general" vertical="bottom"/>
    </xf>
    <xf numFmtId="2" fontId="6" fillId="0" borderId="1" applyAlignment="1" pivotButton="0" quotePrefix="0" xfId="0">
      <alignment horizontal="general" vertical="bottom"/>
    </xf>
    <xf numFmtId="165" fontId="6" fillId="4" borderId="1" applyAlignment="1" pivotButton="0" quotePrefix="0" xfId="0">
      <alignment horizontal="general" vertical="bottom"/>
    </xf>
    <xf numFmtId="164" fontId="9" fillId="3" borderId="1" applyAlignment="1" pivotButton="0" quotePrefix="0" xfId="0">
      <alignment horizontal="center" vertical="bottom" wrapText="1"/>
    </xf>
    <xf numFmtId="0" fontId="8" fillId="0" borderId="1" applyAlignment="1" pivotButton="0" quotePrefix="0" xfId="0">
      <alignment horizontal="general" vertical="bottom"/>
    </xf>
    <xf numFmtId="2" fontId="9" fillId="3" borderId="1" applyAlignment="1" pivotButton="0" quotePrefix="0" xfId="0">
      <alignment horizontal="center" vertical="bottom" wrapText="1"/>
    </xf>
    <xf numFmtId="9" fontId="6" fillId="0" borderId="1" applyAlignment="1" pivotButton="0" quotePrefix="0" xfId="0">
      <alignment horizontal="general" vertical="bottom"/>
    </xf>
    <xf numFmtId="0" fontId="14" fillId="0" borderId="0" applyAlignment="1" pivotButton="0" quotePrefix="0" xfId="0">
      <alignment horizontal="general" vertical="top" wrapText="1"/>
    </xf>
    <xf numFmtId="0" fontId="18" fillId="8" borderId="1" applyAlignment="1" pivotButton="0" quotePrefix="0" xfId="0">
      <alignment horizontal="general" vertical="bottom"/>
    </xf>
    <xf numFmtId="3" fontId="6" fillId="0" borderId="1" applyAlignment="1" pivotButton="0" quotePrefix="0" xfId="0">
      <alignment horizontal="general" vertical="bottom"/>
    </xf>
    <xf numFmtId="164" fontId="6" fillId="2" borderId="1" applyAlignment="1" pivotButton="0" quotePrefix="0" xfId="0">
      <alignment horizontal="general" vertical="bottom"/>
    </xf>
    <xf numFmtId="0" fontId="0" fillId="0" borderId="1" applyAlignment="1" pivotButton="0" quotePrefix="0" xfId="0">
      <alignment horizontal="general" vertical="bottom"/>
    </xf>
    <xf numFmtId="3" fontId="0" fillId="0" borderId="1" applyAlignment="1" pivotButton="0" quotePrefix="0" xfId="0">
      <alignment horizontal="general" vertical="bottom"/>
    </xf>
    <xf numFmtId="164" fontId="0" fillId="0" borderId="1" applyAlignment="1" pivotButton="0" quotePrefix="0" xfId="0">
      <alignment horizontal="general" vertical="bottom"/>
    </xf>
    <xf numFmtId="0" fontId="20" fillId="10" borderId="1" applyAlignment="1" pivotButton="0" quotePrefix="0" xfId="0">
      <alignment horizontal="center"/>
    </xf>
    <xf numFmtId="166" fontId="19" fillId="0" borderId="1" applyAlignment="1" pivotButton="0" quotePrefix="0" xfId="0">
      <alignment horizontal="center"/>
    </xf>
    <xf numFmtId="3" fontId="19" fillId="0" borderId="1" applyAlignment="1" pivotButton="0" quotePrefix="0" xfId="0">
      <alignment horizontal="center"/>
    </xf>
    <xf numFmtId="164" fontId="19" fillId="0" borderId="1" applyAlignment="1" pivotButton="0" quotePrefix="0" xfId="0">
      <alignment horizontal="center"/>
    </xf>
    <xf numFmtId="165" fontId="19" fillId="0" borderId="1" applyAlignment="1" pivotButton="0" quotePrefix="0" xfId="0">
      <alignment horizontal="center"/>
    </xf>
    <xf numFmtId="0" fontId="20" fillId="1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6" fillId="0" borderId="1" applyAlignment="1" pivotButton="0" quotePrefix="0" xfId="0">
      <alignment horizontal="general" vertical="top" wrapText="1"/>
    </xf>
    <xf numFmtId="3" fontId="6" fillId="0" borderId="1" applyAlignment="1" pivotButton="0" quotePrefix="0" xfId="0">
      <alignment horizontal="general" vertical="top" wrapText="1"/>
    </xf>
    <xf numFmtId="0" fontId="6" fillId="4"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78787"/>
      <rgbColor rgb="FF9999FF"/>
      <rgbColor rgb="FFBE4B48"/>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CE4D6"/>
      <rgbColor rgb="FFE2EFDA"/>
      <rgbColor rgb="FFFFF2CC"/>
      <rgbColor rgb="FF99CCFF"/>
      <rgbColor rgb="FFFF99CC"/>
      <rgbColor rgb="FFCC99FF"/>
      <rgbColor rgb="FFF8CBAD"/>
      <rgbColor rgb="FF4F81BD"/>
      <rgbColor rgb="FF33CCCC"/>
      <rgbColor rgb="FF98B855"/>
      <rgbColor rgb="FFFFCC00"/>
      <rgbColor rgb="FFFF9900"/>
      <rgbColor rgb="FFFF6600"/>
      <rgbColor rgb="FF7D5FA0"/>
      <rgbColor rgb="FF969696"/>
      <rgbColor rgb="FF003366"/>
      <rgbColor rgb="FF339966"/>
      <rgbColor rgb="FF003300"/>
      <rgbColor rgb="FF333300"/>
      <rgbColor rgb="FF993300"/>
      <rgbColor rgb="FFC0504D"/>
      <rgbColor rgb="FF1F4E78"/>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Histogram: P1 defects per sample</a:t>
            </a:r>
          </a:p>
        </rich>
      </tx>
    </title>
    <plotArea>
      <barChart>
        <barDir val="col"/>
        <grouping val="clustered"/>
        <ser>
          <idx val="0"/>
          <order val="0"/>
          <tx>
            <strRef>
              <f>'P1_Analysis'!S2</f>
            </strRef>
          </tx>
          <spPr>
            <a:ln>
              <a:prstDash val="solid"/>
            </a:ln>
          </spPr>
          <cat>
            <numRef>
              <f>'P1_Analysis'!$R$3:$R$8</f>
            </numRef>
          </cat>
          <val>
            <numRef>
              <f>'P1_Analysis'!$S$3:$S$8</f>
            </numRef>
          </val>
        </ser>
        <gapWidth val="150"/>
        <axId val="10"/>
        <axId val="100"/>
      </barChart>
      <catAx>
        <axId val="10"/>
        <scaling>
          <orientation val="minMax"/>
        </scaling>
        <axPos val="l"/>
        <title>
          <tx>
            <rich>
              <a:bodyPr/>
              <a:p>
                <a:pPr>
                  <a:defRPr/>
                </a:pPr>
                <a:r>
                  <a:t>Defects in sample (n=5)</a:t>
                </a:r>
              </a:p>
            </rich>
          </tx>
        </title>
        <majorTickMark val="none"/>
        <minorTickMark val="none"/>
        <crossAx val="100"/>
        <lblOffset val="100"/>
      </catAx>
      <valAx>
        <axId val="100"/>
        <scaling>
          <orientation val="minMax"/>
        </scaling>
        <axPos val="l"/>
        <title>
          <tx>
            <rich>
              <a:bodyPr/>
              <a:p>
                <a:pPr>
                  <a:defRPr/>
                </a:pPr>
                <a:r>
                  <a:t>Frequency</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Process 1 np-chart (n=5 constant)</a:t>
            </a:r>
          </a:p>
        </rich>
      </tx>
    </title>
    <plotArea>
      <lineChart>
        <grouping val="standard"/>
        <ser>
          <idx val="0"/>
          <order val="0"/>
          <tx>
            <strRef>
              <f>'P1_Analysis'!L8</f>
            </strRef>
          </tx>
          <spPr>
            <a:ln>
              <a:prstDash val="solid"/>
            </a:ln>
          </spPr>
          <marker>
            <symbol val="none"/>
            <spPr>
              <a:ln>
                <a:prstDash val="solid"/>
              </a:ln>
            </spPr>
          </marker>
          <cat>
            <numRef>
              <f>'P1_Analysis'!$K$9:$K$50</f>
            </numRef>
          </cat>
          <val>
            <numRef>
              <f>'P1_Analysis'!$L$9:$L$50</f>
            </numRef>
          </val>
        </ser>
        <ser>
          <idx val="1"/>
          <order val="1"/>
          <tx>
            <strRef>
              <f>'P1_Analysis'!M8</f>
            </strRef>
          </tx>
          <spPr>
            <a:ln>
              <a:prstDash val="solid"/>
            </a:ln>
          </spPr>
          <marker>
            <symbol val="none"/>
            <spPr>
              <a:ln>
                <a:prstDash val="solid"/>
              </a:ln>
            </spPr>
          </marker>
          <cat>
            <numRef>
              <f>'P1_Analysis'!$K$9:$K$50</f>
            </numRef>
          </cat>
          <val>
            <numRef>
              <f>'P1_Analysis'!$M$9:$M$50</f>
            </numRef>
          </val>
        </ser>
        <ser>
          <idx val="2"/>
          <order val="2"/>
          <tx>
            <strRef>
              <f>'P1_Analysis'!N8</f>
            </strRef>
          </tx>
          <spPr>
            <a:ln>
              <a:prstDash val="solid"/>
            </a:ln>
          </spPr>
          <marker>
            <symbol val="none"/>
            <spPr>
              <a:ln>
                <a:prstDash val="solid"/>
              </a:ln>
            </spPr>
          </marker>
          <cat>
            <numRef>
              <f>'P1_Analysis'!$K$9:$K$50</f>
            </numRef>
          </cat>
          <val>
            <numRef>
              <f>'P1_Analysis'!$N$9:$N$50</f>
            </numRef>
          </val>
        </ser>
        <ser>
          <idx val="3"/>
          <order val="3"/>
          <tx>
            <strRef>
              <f>'P1_Analysis'!O8</f>
            </strRef>
          </tx>
          <spPr>
            <a:ln>
              <a:prstDash val="solid"/>
            </a:ln>
          </spPr>
          <marker>
            <symbol val="none"/>
            <spPr>
              <a:ln>
                <a:prstDash val="solid"/>
              </a:ln>
            </spPr>
          </marker>
          <cat>
            <numRef>
              <f>'P1_Analysis'!$K$9:$K$50</f>
            </numRef>
          </cat>
          <val>
            <numRef>
              <f>'P1_Analysis'!$O$9:$O$50</f>
            </numRef>
          </val>
        </ser>
        <axId val="10"/>
        <axId val="100"/>
      </lineChart>
      <catAx>
        <axId val="10"/>
        <scaling>
          <orientation val="minMax"/>
        </scaling>
        <axPos val="l"/>
        <title>
          <tx>
            <rich>
              <a:bodyPr/>
              <a:p>
                <a:pPr>
                  <a:defRPr/>
                </a:pPr>
                <a:r>
                  <a:t>Sample</a:t>
                </a:r>
              </a:p>
            </rich>
          </tx>
        </title>
        <majorTickMark val="none"/>
        <minorTickMark val="none"/>
        <crossAx val="100"/>
        <lblOffset val="100"/>
      </catAx>
      <valAx>
        <axId val="100"/>
        <scaling>
          <orientation val="minMax"/>
          <max val="6"/>
          <min val="0"/>
        </scaling>
        <axPos val="l"/>
        <majorGridlines/>
        <title>
          <tx>
            <rich>
              <a:bodyPr/>
              <a:p>
                <a:pPr>
                  <a:defRPr/>
                </a:pPr>
                <a:r>
                  <a:t>Defective count (np_i)</a:t>
                </a:r>
              </a:p>
            </rich>
          </tx>
        </title>
        <majorTickMark val="none"/>
        <minorTickMark val="none"/>
        <crossAx val="10"/>
        <majorUnit val="1"/>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Process 1 p-chart (with warning lines)</a:t>
            </a:r>
          </a:p>
        </rich>
      </tx>
    </title>
    <plotArea>
      <lineChart>
        <grouping val="standard"/>
        <ser>
          <idx val="0"/>
          <order val="0"/>
          <tx>
            <strRef>
              <f>'P1_Analysis'!S10</f>
            </strRef>
          </tx>
          <spPr>
            <a:ln>
              <a:prstDash val="solid"/>
            </a:ln>
          </spPr>
          <marker>
            <symbol val="none"/>
            <spPr>
              <a:ln>
                <a:prstDash val="solid"/>
              </a:ln>
            </spPr>
          </marker>
          <cat>
            <numRef>
              <f>'P1_Analysis'!$R$11:$R$52</f>
            </numRef>
          </cat>
          <val>
            <numRef>
              <f>'P1_Analysis'!$S$11:$S$52</f>
            </numRef>
          </val>
        </ser>
        <ser>
          <idx val="1"/>
          <order val="1"/>
          <tx>
            <strRef>
              <f>'P1_Analysis'!T10</f>
            </strRef>
          </tx>
          <spPr>
            <a:ln>
              <a:prstDash val="solid"/>
            </a:ln>
          </spPr>
          <marker>
            <symbol val="none"/>
            <spPr>
              <a:ln>
                <a:prstDash val="solid"/>
              </a:ln>
            </spPr>
          </marker>
          <cat>
            <numRef>
              <f>'P1_Analysis'!$R$11:$R$52</f>
            </numRef>
          </cat>
          <val>
            <numRef>
              <f>'P1_Analysis'!$T$11:$T$52</f>
            </numRef>
          </val>
        </ser>
        <ser>
          <idx val="2"/>
          <order val="2"/>
          <tx>
            <strRef>
              <f>'P1_Analysis'!U10</f>
            </strRef>
          </tx>
          <spPr>
            <a:ln>
              <a:prstDash val="solid"/>
            </a:ln>
          </spPr>
          <marker>
            <symbol val="none"/>
            <spPr>
              <a:ln>
                <a:prstDash val="solid"/>
              </a:ln>
            </spPr>
          </marker>
          <cat>
            <numRef>
              <f>'P1_Analysis'!$R$11:$R$52</f>
            </numRef>
          </cat>
          <val>
            <numRef>
              <f>'P1_Analysis'!$U$11:$U$52</f>
            </numRef>
          </val>
        </ser>
        <ser>
          <idx val="3"/>
          <order val="3"/>
          <tx>
            <strRef>
              <f>'P1_Analysis'!V10</f>
            </strRef>
          </tx>
          <spPr>
            <a:ln>
              <a:prstDash val="solid"/>
            </a:ln>
          </spPr>
          <marker>
            <symbol val="none"/>
            <spPr>
              <a:ln>
                <a:prstDash val="solid"/>
              </a:ln>
            </spPr>
          </marker>
          <cat>
            <numRef>
              <f>'P1_Analysis'!$R$11:$R$52</f>
            </numRef>
          </cat>
          <val>
            <numRef>
              <f>'P1_Analysis'!$V$11:$V$52</f>
            </numRef>
          </val>
        </ser>
        <ser>
          <idx val="4"/>
          <order val="4"/>
          <tx>
            <strRef>
              <f>'P1_Analysis'!W10</f>
            </strRef>
          </tx>
          <spPr>
            <a:ln>
              <a:prstDash val="solid"/>
            </a:ln>
          </spPr>
          <marker>
            <symbol val="none"/>
            <spPr>
              <a:ln>
                <a:prstDash val="solid"/>
              </a:ln>
            </spPr>
          </marker>
          <cat>
            <numRef>
              <f>'P1_Analysis'!$R$11:$R$52</f>
            </numRef>
          </cat>
          <val>
            <numRef>
              <f>'P1_Analysis'!$W$11:$W$52</f>
            </numRef>
          </val>
        </ser>
        <ser>
          <idx val="5"/>
          <order val="5"/>
          <tx>
            <strRef>
              <f>'P1_Analysis'!X10</f>
            </strRef>
          </tx>
          <spPr>
            <a:ln>
              <a:prstDash val="solid"/>
            </a:ln>
          </spPr>
          <marker>
            <symbol val="none"/>
            <spPr>
              <a:ln>
                <a:prstDash val="solid"/>
              </a:ln>
            </spPr>
          </marker>
          <cat>
            <numRef>
              <f>'P1_Analysis'!$R$11:$R$52</f>
            </numRef>
          </cat>
          <val>
            <numRef>
              <f>'P1_Analysis'!$X$11:$X$52</f>
            </numRef>
          </val>
        </ser>
        <axId val="10"/>
        <axId val="100"/>
      </lineChart>
      <catAx>
        <axId val="10"/>
        <scaling>
          <orientation val="minMax"/>
        </scaling>
        <axPos val="l"/>
        <title>
          <tx>
            <rich>
              <a:bodyPr/>
              <a:p>
                <a:pPr>
                  <a:defRPr/>
                </a:pPr>
                <a:r>
                  <a:t>Sample</a:t>
                </a:r>
              </a:p>
            </rich>
          </tx>
        </title>
        <majorTickMark val="none"/>
        <minorTickMark val="none"/>
        <crossAx val="100"/>
        <lblOffset val="100"/>
      </catAx>
      <valAx>
        <axId val="100"/>
        <scaling>
          <orientation val="minMax"/>
          <max val="1"/>
          <min val="0"/>
        </scaling>
        <axPos val="l"/>
        <majorGridlines/>
        <title>
          <tx>
            <rich>
              <a:bodyPr/>
              <a:p>
                <a:pPr>
                  <a:defRPr/>
                </a:pPr>
                <a:r>
                  <a:t>Proportion defective (p)</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Process 1 Pareto by colour</a:t>
            </a:r>
          </a:p>
        </rich>
      </tx>
    </title>
    <plotArea>
      <barChart>
        <barDir val="col"/>
        <grouping val="clustered"/>
        <ser>
          <idx val="0"/>
          <order val="0"/>
          <tx>
            <strRef>
              <f>'P1_Analysis'!AB10</f>
            </strRef>
          </tx>
          <spPr>
            <a:ln>
              <a:prstDash val="solid"/>
            </a:ln>
          </spPr>
          <cat>
            <numRef>
              <f>'P1_Analysis'!$AA$11:$AA$17</f>
            </numRef>
          </cat>
          <val>
            <numRef>
              <f>'P1_Analysis'!$AB$11:$AB$17</f>
            </numRef>
          </val>
        </ser>
        <dLbls>
          <showVal val="1"/>
        </dLbls>
        <gapWidth val="150"/>
        <axId val="10"/>
        <axId val="100"/>
      </barChart>
      <lineChart>
        <grouping val="standard"/>
        <ser>
          <idx val="1"/>
          <order val="1"/>
          <tx>
            <strRef>
              <f>'P1_Analysis'!AC10</f>
            </strRef>
          </tx>
          <spPr>
            <a:ln>
              <a:prstDash val="solid"/>
            </a:ln>
          </spPr>
          <marker>
            <symbol val="none"/>
            <spPr>
              <a:ln>
                <a:prstDash val="solid"/>
              </a:ln>
            </spPr>
          </marker>
          <cat>
            <numRef>
              <f>'P1_Analysis'!$AA$11:$AA$17</f>
            </numRef>
          </cat>
          <val>
            <numRef>
              <f>'P1_Analysis'!$AC$11:$AC$17</f>
            </numRef>
          </val>
        </ser>
        <axId val="10"/>
        <axId val="200"/>
      </lineChart>
      <lineChart>
        <grouping val="standard"/>
        <ser>
          <idx val="2"/>
          <order val="2"/>
          <tx>
            <strRef>
              <f>'P1_Analysis'!AD10</f>
            </strRef>
          </tx>
          <spPr>
            <a:ln>
              <a:prstDash val="solid"/>
            </a:ln>
          </spPr>
          <marker>
            <symbol val="none"/>
            <spPr>
              <a:ln>
                <a:prstDash val="solid"/>
              </a:ln>
            </spPr>
          </marker>
          <cat>
            <numRef>
              <f>'P1_Analysis'!$AA$11:$AA$17</f>
            </numRef>
          </cat>
          <val>
            <numRef>
              <f>'P1_Analysis'!$AD$11:$AD$17</f>
            </numRef>
          </val>
        </ser>
        <axId val="10"/>
        <axId val="200"/>
      </lineChart>
      <catAx>
        <axId val="10"/>
        <scaling>
          <orientation val="minMax"/>
        </scaling>
        <axPos val="l"/>
        <title>
          <tx>
            <rich>
              <a:bodyPr/>
              <a:p>
                <a:pPr>
                  <a:defRPr/>
                </a:pPr>
                <a:r>
                  <a:t>Colour</a:t>
                </a:r>
              </a:p>
            </rich>
          </tx>
        </title>
        <majorTickMark val="none"/>
        <minorTickMark val="none"/>
        <crossAx val="100"/>
        <lblOffset val="100"/>
      </catAx>
      <valAx>
        <axId val="100"/>
        <scaling>
          <orientation val="minMax"/>
        </scaling>
        <axPos val="l"/>
        <majorGridlines/>
        <title>
          <tx>
            <rich>
              <a:bodyPr/>
              <a:p>
                <a:pPr>
                  <a:defRPr/>
                </a:pPr>
                <a:r>
                  <a:t>Defect count</a:t>
                </a:r>
              </a:p>
            </rich>
          </tx>
        </title>
        <majorTickMark val="none"/>
        <minorTickMark val="none"/>
        <crossAx val="10"/>
      </valAx>
      <valAx>
        <axId val="200"/>
        <scaling>
          <orientation val="minMax"/>
          <max val="1"/>
          <min val="0"/>
        </scaling>
        <axPos val="l"/>
        <majorGridlines/>
        <majorTickMark val="none"/>
        <minorTickMark val="none"/>
        <crossAx val="10"/>
        <crosses val="max"/>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Process 2 u-chart (run-specific limits)</a:t>
            </a:r>
          </a:p>
        </rich>
      </tx>
    </title>
    <plotArea>
      <lineChart>
        <grouping val="standard"/>
        <ser>
          <idx val="0"/>
          <order val="0"/>
          <tx>
            <strRef>
              <f>'P2_Analysis'!B8</f>
            </strRef>
          </tx>
          <spPr>
            <a:ln>
              <a:prstDash val="solid"/>
            </a:ln>
          </spPr>
          <marker>
            <symbol val="none"/>
            <spPr>
              <a:ln>
                <a:prstDash val="solid"/>
              </a:ln>
            </spPr>
          </marker>
          <cat>
            <numRef>
              <f>'P2_Analysis'!$A$9:$A$38</f>
            </numRef>
          </cat>
          <val>
            <numRef>
              <f>'P2_Analysis'!$B$9:$B$38</f>
            </numRef>
          </val>
        </ser>
        <ser>
          <idx val="1"/>
          <order val="1"/>
          <tx>
            <strRef>
              <f>'P2_Analysis'!C8</f>
            </strRef>
          </tx>
          <spPr>
            <a:ln>
              <a:prstDash val="solid"/>
            </a:ln>
          </spPr>
          <marker>
            <symbol val="none"/>
            <spPr>
              <a:ln>
                <a:prstDash val="solid"/>
              </a:ln>
            </spPr>
          </marker>
          <cat>
            <numRef>
              <f>'P2_Analysis'!$A$9:$A$38</f>
            </numRef>
          </cat>
          <val>
            <numRef>
              <f>'P2_Analysis'!$C$9:$C$38</f>
            </numRef>
          </val>
        </ser>
        <ser>
          <idx val="2"/>
          <order val="2"/>
          <tx>
            <strRef>
              <f>'P2_Analysis'!D8</f>
            </strRef>
          </tx>
          <spPr>
            <a:ln>
              <a:prstDash val="solid"/>
            </a:ln>
          </spPr>
          <marker>
            <symbol val="none"/>
            <spPr>
              <a:ln>
                <a:prstDash val="solid"/>
              </a:ln>
            </spPr>
          </marker>
          <cat>
            <numRef>
              <f>'P2_Analysis'!$A$9:$A$38</f>
            </numRef>
          </cat>
          <val>
            <numRef>
              <f>'P2_Analysis'!$D$9:$D$38</f>
            </numRef>
          </val>
        </ser>
        <ser>
          <idx val="3"/>
          <order val="3"/>
          <tx>
            <strRef>
              <f>'P2_Analysis'!E8</f>
            </strRef>
          </tx>
          <spPr>
            <a:ln>
              <a:prstDash val="solid"/>
            </a:ln>
          </spPr>
          <marker>
            <symbol val="none"/>
            <spPr>
              <a:ln>
                <a:prstDash val="solid"/>
              </a:ln>
            </spPr>
          </marker>
          <cat>
            <numRef>
              <f>'P2_Analysis'!$A$9:$A$38</f>
            </numRef>
          </cat>
          <val>
            <numRef>
              <f>'P2_Analysis'!$E$9:$E$38</f>
            </numRef>
          </val>
        </ser>
        <axId val="10"/>
        <axId val="100"/>
      </lineChart>
      <catAx>
        <axId val="10"/>
        <scaling>
          <orientation val="minMax"/>
        </scaling>
        <axPos val="l"/>
        <title>
          <tx>
            <rich>
              <a:bodyPr/>
              <a:p>
                <a:pPr>
                  <a:defRPr/>
                </a:pPr>
                <a:r>
                  <a:t>Run</a:t>
                </a:r>
              </a:p>
            </rich>
          </tx>
        </title>
        <majorTickMark val="none"/>
        <minorTickMark val="none"/>
        <crossAx val="100"/>
        <lblOffset val="100"/>
      </catAx>
      <valAx>
        <axId val="100"/>
        <scaling>
          <orientation val="minMax"/>
          <max val="1"/>
          <min val="0"/>
        </scaling>
        <axPos val="l"/>
        <majorGridlines/>
        <title>
          <tx>
            <rich>
              <a:bodyPr/>
              <a:p>
                <a:pPr>
                  <a:defRPr/>
                </a:pPr>
                <a:r>
                  <a:t>Defects per opportunity (u_i)</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Process 2 g-chart (higher g is better)</a:t>
            </a:r>
          </a:p>
        </rich>
      </tx>
    </title>
    <plotArea>
      <lineChart>
        <grouping val="standard"/>
        <ser>
          <idx val="0"/>
          <order val="0"/>
          <tx>
            <strRef>
              <f>'P2_Analysis'!I11</f>
            </strRef>
          </tx>
          <spPr>
            <a:ln>
              <a:prstDash val="solid"/>
            </a:ln>
          </spPr>
          <marker>
            <symbol val="none"/>
            <spPr>
              <a:ln>
                <a:prstDash val="solid"/>
              </a:ln>
            </spPr>
          </marker>
          <cat>
            <numRef>
              <f>'P2_Analysis'!$H$12:$H$41</f>
            </numRef>
          </cat>
          <val>
            <numRef>
              <f>'P2_Analysis'!$I$12:$I$41</f>
            </numRef>
          </val>
        </ser>
        <ser>
          <idx val="1"/>
          <order val="1"/>
          <tx>
            <strRef>
              <f>'P2_Analysis'!J11</f>
            </strRef>
          </tx>
          <spPr>
            <a:ln>
              <a:prstDash val="solid"/>
            </a:ln>
          </spPr>
          <marker>
            <symbol val="none"/>
            <spPr>
              <a:ln>
                <a:prstDash val="solid"/>
              </a:ln>
            </spPr>
          </marker>
          <cat>
            <numRef>
              <f>'P2_Analysis'!$H$12:$H$41</f>
            </numRef>
          </cat>
          <val>
            <numRef>
              <f>'P2_Analysis'!$J$12:$J$41</f>
            </numRef>
          </val>
        </ser>
        <ser>
          <idx val="2"/>
          <order val="2"/>
          <tx>
            <strRef>
              <f>'P2_Analysis'!K11</f>
            </strRef>
          </tx>
          <spPr>
            <a:ln>
              <a:prstDash val="solid"/>
            </a:ln>
          </spPr>
          <marker>
            <symbol val="none"/>
            <spPr>
              <a:ln>
                <a:prstDash val="solid"/>
              </a:ln>
            </spPr>
          </marker>
          <cat>
            <numRef>
              <f>'P2_Analysis'!$H$12:$H$41</f>
            </numRef>
          </cat>
          <val>
            <numRef>
              <f>'P2_Analysis'!$K$12:$K$41</f>
            </numRef>
          </val>
        </ser>
        <ser>
          <idx val="3"/>
          <order val="3"/>
          <tx>
            <strRef>
              <f>'P2_Analysis'!L11</f>
            </strRef>
          </tx>
          <spPr>
            <a:ln>
              <a:prstDash val="solid"/>
            </a:ln>
          </spPr>
          <marker>
            <symbol val="none"/>
            <spPr>
              <a:ln>
                <a:prstDash val="solid"/>
              </a:ln>
            </spPr>
          </marker>
          <cat>
            <numRef>
              <f>'P2_Analysis'!$H$12:$H$41</f>
            </numRef>
          </cat>
          <val>
            <numRef>
              <f>'P2_Analysis'!$L$12:$L$41</f>
            </numRef>
          </val>
        </ser>
        <ser>
          <idx val="4"/>
          <order val="4"/>
          <tx>
            <strRef>
              <f>'P2_Analysis'!M11</f>
            </strRef>
          </tx>
          <spPr>
            <a:ln>
              <a:prstDash val="solid"/>
            </a:ln>
          </spPr>
          <marker>
            <symbol val="none"/>
            <spPr>
              <a:ln>
                <a:prstDash val="solid"/>
              </a:ln>
            </spPr>
          </marker>
          <cat>
            <numRef>
              <f>'P2_Analysis'!$H$12:$H$41</f>
            </numRef>
          </cat>
          <val>
            <numRef>
              <f>'P2_Analysis'!$M$12:$M$41</f>
            </numRef>
          </val>
        </ser>
        <axId val="10"/>
        <axId val="100"/>
      </lineChart>
      <catAx>
        <axId val="10"/>
        <scaling>
          <orientation val="minMax"/>
        </scaling>
        <axPos val="l"/>
        <title>
          <tx>
            <rich>
              <a:bodyPr/>
              <a:p>
                <a:pPr>
                  <a:defRPr/>
                </a:pPr>
                <a:r>
                  <a:t>Run</a:t>
                </a:r>
              </a:p>
            </rich>
          </tx>
        </title>
        <majorTickMark val="none"/>
        <minorTickMark val="none"/>
        <crossAx val="100"/>
        <lblOffset val="100"/>
      </catAx>
      <valAx>
        <axId val="100"/>
        <scaling>
          <orientation val="minMax"/>
          <max val="7"/>
          <min val="0"/>
        </scaling>
        <axPos val="l"/>
        <majorGridlines/>
        <title>
          <tx>
            <rich>
              <a:bodyPr/>
              <a:p>
                <a:pPr>
                  <a:defRPr/>
                </a:pPr>
                <a:r>
                  <a:t>Pieces before defect (g)</a:t>
                </a:r>
              </a:p>
            </rich>
          </tx>
        </title>
        <majorTickMark val="none"/>
        <minorTickMark val="none"/>
        <crossAx val="10"/>
        <majorUnit val="1"/>
      </valAx>
    </plotArea>
    <legend>
      <legendPos val="r"/>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Process 2 Pareto by colour</a:t>
            </a:r>
          </a:p>
        </rich>
      </tx>
    </title>
    <plotArea>
      <barChart>
        <barDir val="col"/>
        <grouping val="clustered"/>
        <ser>
          <idx val="0"/>
          <order val="0"/>
          <tx>
            <strRef>
              <f>'P2_Analysis'!B61</f>
            </strRef>
          </tx>
          <spPr>
            <a:ln>
              <a:prstDash val="solid"/>
            </a:ln>
          </spPr>
          <cat>
            <numRef>
              <f>'P2_Analysis'!$A$62:$A$68</f>
            </numRef>
          </cat>
          <val>
            <numRef>
              <f>'P2_Analysis'!$B$62:$B$68</f>
            </numRef>
          </val>
        </ser>
        <dLbls>
          <showVal val="1"/>
        </dLbls>
        <gapWidth val="150"/>
        <axId val="10"/>
        <axId val="100"/>
      </barChart>
      <lineChart>
        <grouping val="standard"/>
        <ser>
          <idx val="1"/>
          <order val="1"/>
          <tx>
            <strRef>
              <f>'P2_Analysis'!C61</f>
            </strRef>
          </tx>
          <spPr>
            <a:ln>
              <a:prstDash val="solid"/>
            </a:ln>
          </spPr>
          <marker>
            <symbol val="none"/>
            <spPr>
              <a:ln>
                <a:prstDash val="solid"/>
              </a:ln>
            </spPr>
          </marker>
          <cat>
            <numRef>
              <f>'P2_Analysis'!$A$62:$A$68</f>
            </numRef>
          </cat>
          <val>
            <numRef>
              <f>'P2_Analysis'!$C$62:$C$68</f>
            </numRef>
          </val>
        </ser>
        <axId val="10"/>
        <axId val="300"/>
      </lineChart>
      <lineChart>
        <grouping val="standard"/>
        <ser>
          <idx val="2"/>
          <order val="2"/>
          <tx>
            <strRef>
              <f>'P2_Analysis'!D61</f>
            </strRef>
          </tx>
          <spPr>
            <a:ln>
              <a:prstDash val="solid"/>
            </a:ln>
          </spPr>
          <marker>
            <symbol val="none"/>
            <spPr>
              <a:ln>
                <a:prstDash val="solid"/>
              </a:ln>
            </spPr>
          </marker>
          <cat>
            <numRef>
              <f>'P2_Analysis'!$A$62:$A$68</f>
            </numRef>
          </cat>
          <val>
            <numRef>
              <f>'P2_Analysis'!$D$62:$D$68</f>
            </numRef>
          </val>
        </ser>
        <axId val="10"/>
        <axId val="300"/>
      </lineChart>
      <catAx>
        <axId val="10"/>
        <scaling>
          <orientation val="minMax"/>
        </scaling>
        <axPos val="l"/>
        <title>
          <tx>
            <rich>
              <a:bodyPr/>
              <a:p>
                <a:pPr>
                  <a:defRPr/>
                </a:pPr>
                <a:r>
                  <a:t>Colour</a:t>
                </a:r>
              </a:p>
            </rich>
          </tx>
        </title>
        <majorTickMark val="none"/>
        <minorTickMark val="none"/>
        <crossAx val="100"/>
        <lblOffset val="100"/>
      </catAx>
      <valAx>
        <axId val="100"/>
        <scaling>
          <orientation val="minMax"/>
        </scaling>
        <axPos val="l"/>
        <majorGridlines/>
        <title>
          <tx>
            <rich>
              <a:bodyPr/>
              <a:p>
                <a:pPr>
                  <a:defRPr/>
                </a:pPr>
                <a:r>
                  <a:t>Defect count</a:t>
                </a:r>
              </a:p>
            </rich>
          </tx>
        </title>
        <majorTickMark val="none"/>
        <minorTickMark val="none"/>
        <crossAx val="10"/>
      </valAx>
      <valAx>
        <axId val="300"/>
        <scaling>
          <orientation val="minMax"/>
          <max val="1"/>
          <min val="0"/>
        </scaling>
        <axPos val="l"/>
        <majorGridlines/>
        <majorTickMark val="none"/>
        <minorTickMark val="none"/>
        <crossAx val="10"/>
        <crosses val="max"/>
      </valAx>
    </plotArea>
    <legend>
      <legendPos val="r"/>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Run sequence: P2 pieces before defect (g_i)</a:t>
            </a:r>
          </a:p>
        </rich>
      </tx>
    </title>
    <plotArea>
      <lineChart>
        <grouping val="standard"/>
        <ser>
          <idx val="0"/>
          <order val="0"/>
          <tx>
            <strRef>
              <f>'P2_Analysis'!S8</f>
            </strRef>
          </tx>
          <spPr>
            <a:ln>
              <a:prstDash val="solid"/>
            </a:ln>
          </spPr>
          <marker>
            <symbol val="none"/>
            <spPr>
              <a:ln>
                <a:prstDash val="solid"/>
              </a:ln>
            </spPr>
          </marker>
          <cat>
            <numRef>
              <f>'P2_Analysis'!$R$9:$R$38</f>
            </numRef>
          </cat>
          <val>
            <numRef>
              <f>'P2_Analysis'!$S$9:$S$38</f>
            </numRef>
          </val>
        </ser>
        <axId val="10"/>
        <axId val="100"/>
      </lineChart>
      <catAx>
        <axId val="10"/>
        <scaling>
          <orientation val="minMax"/>
        </scaling>
        <axPos val="l"/>
        <title>
          <tx>
            <rich>
              <a:bodyPr/>
              <a:p>
                <a:pPr>
                  <a:defRPr/>
                </a:pPr>
                <a:r>
                  <a:t>Run</a:t>
                </a:r>
              </a:p>
            </rich>
          </tx>
        </title>
        <majorTickMark val="none"/>
        <minorTickMark val="none"/>
        <crossAx val="100"/>
        <lblOffset val="100"/>
      </catAx>
      <valAx>
        <axId val="100"/>
        <scaling>
          <orientation val="minMax"/>
          <max val="7"/>
          <min val="0"/>
        </scaling>
        <axPos val="l"/>
        <majorGridlines/>
        <title>
          <tx>
            <rich>
              <a:bodyPr/>
              <a:p>
                <a:pPr>
                  <a:defRPr/>
                </a:pPr>
                <a:r>
                  <a:t>g_i</a:t>
                </a:r>
              </a:p>
            </rich>
          </tx>
        </title>
        <majorTickMark val="none"/>
        <minorTickMark val="none"/>
        <crossAx val="10"/>
      </valAx>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DPMO comparison</a:t>
            </a:r>
          </a:p>
        </rich>
      </tx>
      <overlay val="0"/>
      <spPr>
        <a:noFill/>
        <a:ln w="0">
          <a:noFill/>
          <a:prstDash val="solid"/>
        </a:ln>
      </spPr>
    </title>
    <plotArea>
      <barChart>
        <barDir val="col"/>
        <grouping val="clustered"/>
        <varyColors val="0"/>
        <ser>
          <idx val="0"/>
          <order val="0"/>
          <tx>
            <strRef>
              <f>Comparison_DPMO_Cost!B41</f>
              <strCache>
                <ptCount val="1"/>
                <pt idx="0">
                  <v>Process 1</v>
                </pt>
              </strCache>
            </strRef>
          </tx>
          <spPr>
            <a:solidFill>
              <a:srgbClr val="4f81bd"/>
            </a:solidFill>
            <a:ln w="0">
              <a:noFill/>
              <a:prstDash val="solid"/>
            </a:ln>
          </spPr>
          <invertIfNegative val="0"/>
          <dLbls>
            <txPr>
              <a:bodyPr wrap="square"/>
              <a:lstStyle/>
              <a:p>
                <a:pPr>
                  <a:defRPr sz="1000" b="0" strike="noStrike" spc="-1">
                    <a:solidFill>
                      <a:srgbClr val="000000"/>
                    </a:solidFill>
                    <a:latin typeface="Arial"/>
                  </a:defRPr>
                </a:pPr>
                <a:r>
                  <a:t/>
                </a:r>
              </a:p>
            </txPr>
            <dLblPos val="outEnd"/>
            <showLegendKey val="0"/>
            <showVal val="0"/>
            <showCatName val="0"/>
            <showSerName val="0"/>
            <showPercent val="0"/>
            <showLeaderLines val="1"/>
          </dLbls>
          <cat>
            <strRef>
              <f>Comparison_DPMO_Cost!$A$42</f>
              <strCache>
                <ptCount val="1"/>
                <pt idx="0">
                  <v>DPMO</v>
                </pt>
              </strCache>
            </strRef>
          </cat>
          <val>
            <numRef>
              <f>Comparison_DPMO_Cost!$B$42</f>
              <numCache>
                <formatCode>#,##0</formatCode>
                <ptCount val="1"/>
                <pt idx="0">
                  <v>361904.761904762</v>
                </pt>
              </numCache>
            </numRef>
          </val>
        </ser>
        <ser>
          <idx val="1"/>
          <order val="1"/>
          <tx>
            <strRef>
              <f>Comparison_DPMO_Cost!C41</f>
              <strCache>
                <ptCount val="1"/>
                <pt idx="0">
                  <v>Process 2</v>
                </pt>
              </strCache>
            </strRef>
          </tx>
          <spPr>
            <a:solidFill>
              <a:srgbClr val="c0504d"/>
            </a:solidFill>
            <a:ln w="0">
              <a:noFill/>
              <a:prstDash val="solid"/>
            </a:ln>
          </spPr>
          <invertIfNegative val="0"/>
          <dLbls>
            <txPr>
              <a:bodyPr wrap="square"/>
              <a:lstStyle/>
              <a:p>
                <a:pPr>
                  <a:defRPr sz="1000" b="0" strike="noStrike" spc="-1">
                    <a:solidFill>
                      <a:srgbClr val="000000"/>
                    </a:solidFill>
                    <a:latin typeface="Arial"/>
                  </a:defRPr>
                </a:pPr>
                <a:r>
                  <a:t/>
                </a:r>
              </a:p>
            </txPr>
            <dLblPos val="outEnd"/>
            <showLegendKey val="0"/>
            <showVal val="0"/>
            <showCatName val="0"/>
            <showSerName val="0"/>
            <showPercent val="0"/>
            <showLeaderLines val="1"/>
          </dLbls>
          <cat>
            <strRef>
              <f>Comparison_DPMO_Cost!$A$42</f>
              <strCache>
                <ptCount val="1"/>
                <pt idx="0">
                  <v>DPMO</v>
                </pt>
              </strCache>
            </strRef>
          </cat>
          <val>
            <numRef>
              <f>Comparison_DPMO_Cost!$C$42</f>
              <numCache>
                <formatCode>#,##0</formatCode>
                <ptCount val="1"/>
                <pt idx="0">
                  <v>198675.496688742</v>
                </pt>
              </numCache>
            </numRef>
          </val>
        </ser>
        <gapWidth val="150"/>
        <overlap val="0"/>
        <axId val="22365361"/>
        <axId val="74267952"/>
      </barChart>
      <catAx>
        <axId val="22365361"/>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74267952"/>
        <crosses val="autoZero"/>
        <auto val="1"/>
        <lblAlgn val="ctr"/>
        <lblOffset val="100"/>
        <noMultiLvlLbl val="0"/>
      </catAx>
      <valAx>
        <axId val="74267952"/>
        <scaling>
          <orientation val="minMax"/>
        </scaling>
        <delete val="0"/>
        <axPos val="l"/>
        <majorGridlines>
          <spPr>
            <a:ln w="9360">
              <a:solidFill>
                <a:srgbClr val="878787"/>
              </a:solidFill>
              <a:prstDash val="solid"/>
              <a:round/>
            </a:ln>
          </spPr>
        </majorGridlines>
        <numFmt formatCode="#,##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22365361"/>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9360">
      <a:solidFill>
        <a:srgbClr val="d9d9d9"/>
      </a:solidFill>
      <a:prstDash val="solid"/>
      <a:round/>
    </a:ln>
  </spPr>
</chartSpace>
</file>

<file path=xl/charts/chart10.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Total cost comparison</a:t>
            </a:r>
          </a:p>
        </rich>
      </tx>
      <overlay val="0"/>
      <spPr>
        <a:noFill/>
        <a:ln w="0">
          <a:noFill/>
          <a:prstDash val="solid"/>
        </a:ln>
      </spPr>
    </title>
    <plotArea>
      <barChart>
        <barDir val="col"/>
        <grouping val="clustered"/>
        <varyColors val="0"/>
        <ser>
          <idx val="0"/>
          <order val="0"/>
          <spPr>
            <a:solidFill>
              <a:srgbClr val="4f81bd"/>
            </a:solidFill>
            <a:ln w="0">
              <a:noFill/>
              <a:prstDash val="solid"/>
            </a:ln>
          </spPr>
          <invertIfNegative val="0"/>
          <dLbls>
            <txPr>
              <a:bodyPr wrap="square"/>
              <a:lstStyle/>
              <a:p>
                <a:pPr>
                  <a:defRPr sz="1000" b="0" strike="noStrike" spc="-1">
                    <a:solidFill>
                      <a:srgbClr val="000000"/>
                    </a:solidFill>
                    <a:latin typeface="Arial"/>
                  </a:defRPr>
                </a:pPr>
                <a:r>
                  <a:t/>
                </a:r>
              </a:p>
            </txPr>
            <dLblPos val="outEnd"/>
            <showLegendKey val="0"/>
            <showVal val="0"/>
            <showCatName val="0"/>
            <showSerName val="0"/>
            <showPercent val="0"/>
            <showLeaderLines val="1"/>
          </dLbls>
          <cat>
            <strRef>
              <f>Comparison_DPMO_Cost!$A$44</f>
              <strCache>
                <ptCount val="1"/>
                <pt idx="0">
                  <v>Total cost (R)</v>
                </pt>
              </strCache>
            </strRef>
          </cat>
          <val>
            <numRef>
              <f>Comparison_DPMO_Cost!$B$44</f>
              <numCache>
                <formatCode>#,##0</formatCode>
                <ptCount val="1"/>
                <pt idx="0">
                  <v>420</v>
                </pt>
              </numCache>
            </numRef>
          </val>
        </ser>
        <ser>
          <idx val="1"/>
          <order val="1"/>
          <spPr>
            <a:solidFill>
              <a:srgbClr val="c0504d"/>
            </a:solidFill>
            <a:ln w="0">
              <a:noFill/>
              <a:prstDash val="solid"/>
            </a:ln>
          </spPr>
          <invertIfNegative val="0"/>
          <dLbls>
            <txPr>
              <a:bodyPr wrap="square"/>
              <a:lstStyle/>
              <a:p>
                <a:pPr>
                  <a:defRPr sz="1000" b="0" strike="noStrike" spc="-1">
                    <a:solidFill>
                      <a:srgbClr val="000000"/>
                    </a:solidFill>
                    <a:latin typeface="Arial"/>
                  </a:defRPr>
                </a:pPr>
                <a:r>
                  <a:t/>
                </a:r>
              </a:p>
            </txPr>
            <dLblPos val="outEnd"/>
            <showLegendKey val="0"/>
            <showVal val="0"/>
            <showCatName val="0"/>
            <showSerName val="0"/>
            <showPercent val="0"/>
            <showLeaderLines val="1"/>
          </dLbls>
          <cat>
            <strRef>
              <f>Comparison_DPMO_Cost!$A$44</f>
              <strCache>
                <ptCount val="1"/>
                <pt idx="0">
                  <v>Total cost (R)</v>
                </pt>
              </strCache>
            </strRef>
          </cat>
          <val>
            <numRef>
              <f>Comparison_DPMO_Cost!$C$44</f>
              <numCache>
                <formatCode>#,##0</formatCode>
                <ptCount val="1"/>
                <pt idx="0">
                  <v>902</v>
                </pt>
              </numCache>
            </numRef>
          </val>
        </ser>
        <gapWidth val="150"/>
        <overlap val="0"/>
        <axId val="4395331"/>
        <axId val="41753702"/>
      </barChart>
      <catAx>
        <axId val="4395331"/>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41753702"/>
        <crosses val="autoZero"/>
        <auto val="1"/>
        <lblAlgn val="ctr"/>
        <lblOffset val="100"/>
        <noMultiLvlLbl val="0"/>
      </catAx>
      <valAx>
        <axId val="41753702"/>
        <scaling>
          <orientation val="minMax"/>
        </scaling>
        <delete val="0"/>
        <axPos val="l"/>
        <majorGridlines>
          <spPr>
            <a:ln w="9360">
              <a:solidFill>
                <a:srgbClr val="878787"/>
              </a:solidFill>
              <a:prstDash val="solid"/>
              <a:round/>
            </a:ln>
          </spPr>
        </majorGridlines>
        <numFmt formatCode="#,##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4395331"/>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9360">
      <a:solidFill>
        <a:srgbClr val="d9d9d9"/>
      </a:solidFill>
      <a:prstDash val="solid"/>
      <a:round/>
    </a:ln>
  </spPr>
</chartSpace>
</file>

<file path=xl/charts/chart1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Defect-rate comparison</a:t>
            </a:r>
          </a:p>
        </rich>
      </tx>
      <overlay val="0"/>
      <spPr>
        <a:noFill/>
        <a:ln w="0">
          <a:noFill/>
          <a:prstDash val="solid"/>
        </a:ln>
      </spPr>
    </title>
    <plotArea>
      <barChart>
        <barDir val="col"/>
        <grouping val="clustered"/>
        <varyColors val="0"/>
        <ser>
          <idx val="0"/>
          <order val="0"/>
          <spPr>
            <a:solidFill>
              <a:srgbClr val="4f81bd"/>
            </a:solidFill>
            <a:ln w="0">
              <a:noFill/>
              <a:prstDash val="solid"/>
            </a:ln>
          </spPr>
          <invertIfNegative val="0"/>
          <dLbls>
            <txPr>
              <a:bodyPr wrap="square"/>
              <a:lstStyle/>
              <a:p>
                <a:pPr>
                  <a:defRPr sz="1000" b="0" strike="noStrike" spc="-1">
                    <a:solidFill>
                      <a:srgbClr val="000000"/>
                    </a:solidFill>
                    <a:latin typeface="Arial"/>
                  </a:defRPr>
                </a:pPr>
                <a:r>
                  <a:t/>
                </a:r>
              </a:p>
            </txPr>
            <dLblPos val="outEnd"/>
            <showLegendKey val="0"/>
            <showVal val="0"/>
            <showCatName val="0"/>
            <showSerName val="0"/>
            <showPercent val="0"/>
            <showLeaderLines val="1"/>
          </dLbls>
          <cat>
            <strRef>
              <f>Comparison_DPMO_Cost!$A$43</f>
              <strCache>
                <ptCount val="1"/>
                <pt idx="0">
                  <v>Defect rate</v>
                </pt>
              </strCache>
            </strRef>
          </cat>
          <val>
            <numRef>
              <f>Comparison_DPMO_Cost!$B$43</f>
              <numCache>
                <formatCode>0.000</formatCode>
                <ptCount val="1"/>
                <pt idx="0">
                  <v>0.361904761904762</v>
                </pt>
              </numCache>
            </numRef>
          </val>
        </ser>
        <ser>
          <idx val="1"/>
          <order val="1"/>
          <spPr>
            <a:solidFill>
              <a:srgbClr val="c0504d"/>
            </a:solidFill>
            <a:ln w="0">
              <a:noFill/>
              <a:prstDash val="solid"/>
            </a:ln>
          </spPr>
          <invertIfNegative val="0"/>
          <dLbls>
            <txPr>
              <a:bodyPr wrap="square"/>
              <a:lstStyle/>
              <a:p>
                <a:pPr>
                  <a:defRPr sz="1000" b="0" strike="noStrike" spc="-1">
                    <a:solidFill>
                      <a:srgbClr val="000000"/>
                    </a:solidFill>
                    <a:latin typeface="Arial"/>
                  </a:defRPr>
                </a:pPr>
                <a:r>
                  <a:t/>
                </a:r>
              </a:p>
            </txPr>
            <dLblPos val="outEnd"/>
            <showLegendKey val="0"/>
            <showVal val="0"/>
            <showCatName val="0"/>
            <showSerName val="0"/>
            <showPercent val="0"/>
            <showLeaderLines val="1"/>
          </dLbls>
          <cat>
            <strRef>
              <f>Comparison_DPMO_Cost!$A$43</f>
              <strCache>
                <ptCount val="1"/>
                <pt idx="0">
                  <v>Defect rate</v>
                </pt>
              </strCache>
            </strRef>
          </cat>
          <val>
            <numRef>
              <f>Comparison_DPMO_Cost!$C$43</f>
              <numCache>
                <formatCode>0.000</formatCode>
                <ptCount val="1"/>
                <pt idx="0">
                  <v>0.198675496688742</v>
                </pt>
              </numCache>
            </numRef>
          </val>
        </ser>
        <gapWidth val="150"/>
        <overlap val="0"/>
        <axId val="55711045"/>
        <axId val="8897850"/>
      </barChart>
      <catAx>
        <axId val="55711045"/>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8897850"/>
        <crosses val="autoZero"/>
        <auto val="1"/>
        <lblAlgn val="ctr"/>
        <lblOffset val="100"/>
        <noMultiLvlLbl val="0"/>
      </catAx>
      <valAx>
        <axId val="8897850"/>
        <scaling>
          <orientation val="minMax"/>
        </scaling>
        <delete val="0"/>
        <axPos val="l"/>
        <majorGridlines>
          <spPr>
            <a:ln w="9360">
              <a:solidFill>
                <a:srgbClr val="878787"/>
              </a:solidFill>
              <a:prstDash val="solid"/>
              <a:round/>
            </a:ln>
          </spPr>
        </majorGridlines>
        <numFmt formatCode="0.000" sourceLinked="0"/>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55711045"/>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 Type="http://schemas.openxmlformats.org/officeDocument/2006/relationships/chart" Target="/xl/charts/chart8.xml" Id="rId4" /></Relationships>
</file>

<file path=xl/drawings/_rels/drawing3.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 Type="http://schemas.openxmlformats.org/officeDocument/2006/relationships/chart" Target="/xl/charts/chart11.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127</row>
      <rowOff>0</rowOff>
    </from>
    <ext cx="3960000" cy="252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127</row>
      <rowOff>0</rowOff>
    </from>
    <ext cx="3960000" cy="252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147</row>
      <rowOff>0</rowOff>
    </from>
    <ext cx="3960000" cy="2520000"/>
    <graphicFrame>
      <nvGraphicFramePr>
        <cNvPr id="3" name="Chart 3"/>
        <cNvGraphicFramePr/>
      </nvGraphicFramePr>
      <xfrm/>
      <a:graphic>
        <a:graphicData uri="http://schemas.openxmlformats.org/drawingml/2006/chart">
          <c:chart r:id="rId3"/>
        </a:graphicData>
      </a:graphic>
    </graphicFrame>
    <clientData/>
  </oneCellAnchor>
  <oneCellAnchor>
    <from>
      <col>8</col>
      <colOff>0</colOff>
      <row>147</row>
      <rowOff>0</rowOff>
    </from>
    <ext cx="3960000" cy="252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103</row>
      <rowOff>0</rowOff>
    </from>
    <ext cx="3960000" cy="2520000"/>
    <graphicFrame>
      <nvGraphicFramePr>
        <cNvPr id="1" name="Chart 1"/>
        <cNvGraphicFramePr/>
      </nvGraphicFramePr>
      <xfrm/>
      <a:graphic>
        <a:graphicData uri="http://schemas.openxmlformats.org/drawingml/2006/chart">
          <c:chart r:id="rId1"/>
        </a:graphicData>
      </a:graphic>
    </graphicFrame>
    <clientData/>
  </oneCellAnchor>
  <oneCellAnchor>
    <from>
      <col>8</col>
      <colOff>0</colOff>
      <row>103</row>
      <rowOff>0</rowOff>
    </from>
    <ext cx="3960000" cy="252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123</row>
      <rowOff>0</rowOff>
    </from>
    <ext cx="3960000" cy="2520000"/>
    <graphicFrame>
      <nvGraphicFramePr>
        <cNvPr id="3" name="Chart 3"/>
        <cNvGraphicFramePr/>
      </nvGraphicFramePr>
      <xfrm/>
      <a:graphic>
        <a:graphicData uri="http://schemas.openxmlformats.org/drawingml/2006/chart">
          <c:chart r:id="rId3"/>
        </a:graphicData>
      </a:graphic>
    </graphicFrame>
    <clientData/>
  </oneCellAnchor>
  <oneCellAnchor>
    <from>
      <col>8</col>
      <colOff>0</colOff>
      <row>123</row>
      <rowOff>0</rowOff>
    </from>
    <ext cx="3960000" cy="252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0</colOff>
      <row>45</row>
      <rowOff>160920</rowOff>
    </from>
    <to>
      <col>2</col>
      <colOff>637200</colOff>
      <row>59</row>
      <rowOff>11160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5</col>
      <colOff>0</colOff>
      <row>45</row>
      <rowOff>160920</rowOff>
    </from>
    <to>
      <col>8</col>
      <colOff>73440</colOff>
      <row>59</row>
      <rowOff>11160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10</col>
      <colOff>0</colOff>
      <row>45</row>
      <rowOff>160920</rowOff>
    </from>
    <to>
      <col>15</col>
      <colOff>540000</colOff>
      <row>59</row>
      <rowOff>11160</rowOff>
    </to>
    <graphicFrame>
      <nvGraphicFramePr>
        <cNvPr id="3" name="Chart 3"/>
        <cNvGraphicFramePr/>
      </nvGraphicFramePr>
      <xfrm/>
      <a:graphic>
        <a:graphicData uri="http://schemas.openxmlformats.org/drawingml/2006/chart">
          <c:chart r:id="rId3"/>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filterMode="0">
    <outlinePr summaryBelow="1" summaryRight="1"/>
    <pageSetUpPr fitToPage="0"/>
  </sheetPr>
  <dimension ref="A1:H4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55" min="1" max="1"/>
    <col width="40" customWidth="1" style="55" min="2" max="2"/>
    <col width="22" customWidth="1" style="55" min="3" max="3"/>
    <col width="14" customWidth="1" style="55" min="4" max="8"/>
  </cols>
  <sheetData>
    <row r="1" ht="17.25" customHeight="1" s="56">
      <c r="A1" s="57" t="inlineStr">
        <is>
          <t>INGB413 GA — Tangra Inc. Quality Assurance Workbook</t>
        </is>
      </c>
    </row>
    <row r="2" ht="15" customHeight="1" s="56">
      <c r="A2" s="58" t="inlineStr">
        <is>
          <t>Author: Nthabiseng Maoka (30224926)</t>
        </is>
      </c>
    </row>
    <row r="3" ht="15" customHeight="1" s="56">
      <c r="A3" s="59" t="inlineStr">
        <is>
          <t>Subject: Statistical Process Control &amp; Process Capability — comparison of two assembly processes</t>
        </is>
      </c>
    </row>
    <row r="4" ht="15" customHeight="1" s="56">
      <c r="A4" s="60" t="inlineStr">
        <is>
          <t>Prepared: 2026-05-29</t>
        </is>
      </c>
    </row>
    <row r="6" ht="15" customHeight="1" s="56">
      <c r="A6" s="61" t="inlineStr">
        <is>
          <t>Purpose</t>
        </is>
      </c>
    </row>
    <row r="7" ht="15" customHeight="1" s="56">
      <c r="A7" s="62" t="inlineStr">
        <is>
          <t>This workbook analyses defect data from two tangram-assembly processes at Tangra Inc. using attribute control charts, performs a two-round (Phase 1) p-chart study, compares the two processes via a two-proportion z-test and process-capability (DPMO) metrics, and derives a cost/throughput-based recommendation.</t>
        </is>
      </c>
    </row>
    <row r="8" ht="15" customHeight="1" s="56"/>
    <row r="9" ht="15" customHeight="1" s="56"/>
    <row r="11" ht="15" customHeight="1" s="56">
      <c r="A11" s="61" t="inlineStr">
        <is>
          <t>Data Integrity Note</t>
        </is>
      </c>
    </row>
    <row r="12" ht="15" customHeight="1" s="56">
      <c r="A12" s="63" t="inlineStr">
        <is>
          <t>All values are transcribed from the recorded process observations (process_1.pdf / process_2.pdf, as captured in the supplied data file). No defect counts were invented or inflated. Each P1/P2 row carries a Data_Source_Type label. "Raw observed" = directly recorded; "Cleaned from notes" = same observation, tidied into tabular form. No synthetic rows are presented as observed data.</t>
        </is>
      </c>
    </row>
    <row r="13" ht="15" customHeight="1" s="56"/>
    <row r="14" ht="15" customHeight="1" s="56"/>
    <row r="16" ht="15" customHeight="1" s="56">
      <c r="A16" s="61" t="inlineStr">
        <is>
          <t>Defect vs Defective</t>
        </is>
      </c>
    </row>
    <row r="17" ht="15" customHeight="1" s="56">
      <c r="A17" s="64" t="inlineStr">
        <is>
          <t>Term</t>
        </is>
      </c>
      <c r="B17" s="64" t="inlineStr">
        <is>
          <t>Definition (operational)</t>
        </is>
      </c>
      <c r="C17" s="65" t="n"/>
      <c r="D17" s="65" t="n"/>
      <c r="E17" s="65" t="n"/>
      <c r="F17" s="65" t="n"/>
      <c r="G17" s="65" t="n"/>
      <c r="H17" s="66" t="n"/>
    </row>
    <row r="18" ht="15" customHeight="1" s="56">
      <c r="A18" s="67" t="inlineStr">
        <is>
          <t>Defect</t>
        </is>
      </c>
      <c r="B18" s="68" t="inlineStr">
        <is>
          <t>One nonconforming feature on a puzzle piece (chip, warp, wrong cut, colour fault).</t>
        </is>
      </c>
      <c r="C18" s="65" t="n"/>
      <c r="D18" s="65" t="n"/>
      <c r="E18" s="65" t="n"/>
      <c r="F18" s="65" t="n"/>
      <c r="G18" s="65" t="n"/>
      <c r="H18" s="66" t="n"/>
    </row>
    <row r="19" ht="15" customHeight="1" s="56">
      <c r="A19" s="67" t="inlineStr">
        <is>
          <t>Defective piece</t>
        </is>
      </c>
      <c r="B19" s="68" t="inlineStr">
        <is>
          <t>A single puzzle piece that cannot be used in assembly.</t>
        </is>
      </c>
      <c r="C19" s="65" t="n"/>
      <c r="D19" s="65" t="n"/>
      <c r="E19" s="65" t="n"/>
      <c r="F19" s="65" t="n"/>
      <c r="G19" s="65" t="n"/>
      <c r="H19" s="66" t="n"/>
    </row>
    <row r="20" ht="15" customHeight="1" s="56">
      <c r="A20" s="67" t="inlineStr">
        <is>
          <t>Defective assembly</t>
        </is>
      </c>
      <c r="B20" s="68" t="inlineStr">
        <is>
          <t>A figurine / semi-assembly that cannot be shipped because a defective piece was used.</t>
        </is>
      </c>
      <c r="C20" s="65" t="n"/>
      <c r="D20" s="65" t="n"/>
      <c r="E20" s="65" t="n"/>
      <c r="F20" s="65" t="n"/>
      <c r="G20" s="65" t="n"/>
      <c r="H20" s="66" t="n"/>
    </row>
    <row r="21" ht="15" customHeight="1" s="56">
      <c r="A21" s="67" t="inlineStr">
        <is>
          <t>Non-defective assembly</t>
        </is>
      </c>
      <c r="B21" s="68" t="inlineStr">
        <is>
          <t>A complete figurine with all seven pieces fitting correctly.</t>
        </is>
      </c>
      <c r="C21" s="65" t="n"/>
      <c r="D21" s="65" t="n"/>
      <c r="E21" s="65" t="n"/>
      <c r="F21" s="65" t="n"/>
      <c r="G21" s="65" t="n"/>
      <c r="H21" s="66" t="n"/>
    </row>
    <row r="23" ht="15" customHeight="1" s="56">
      <c r="A23" s="61" t="inlineStr">
        <is>
          <t>Chart Selection Logic</t>
        </is>
      </c>
    </row>
    <row r="24" ht="15" customHeight="1" s="56">
      <c r="A24" s="64" t="inlineStr">
        <is>
          <t>Process</t>
        </is>
      </c>
      <c r="B24" s="64" t="inlineStr">
        <is>
          <t>Data type</t>
        </is>
      </c>
      <c r="C24" s="64" t="inlineStr">
        <is>
          <t>Chart</t>
        </is>
      </c>
      <c r="D24" s="64" t="inlineStr">
        <is>
          <t>Why</t>
        </is>
      </c>
      <c r="E24" s="65" t="n"/>
      <c r="F24" s="65" t="n"/>
      <c r="G24" s="65" t="n"/>
      <c r="H24" s="66" t="n"/>
    </row>
    <row r="25" ht="15" customHeight="1" s="56">
      <c r="A25" s="68" t="inlineStr">
        <is>
          <t>P1</t>
        </is>
      </c>
      <c r="B25" s="68" t="inlineStr">
        <is>
          <t>Attribute, fixed n=5</t>
        </is>
      </c>
      <c r="C25" s="68" t="inlineStr">
        <is>
          <t>p-chart</t>
        </is>
      </c>
      <c r="D25" s="68" t="inlineStr">
        <is>
          <t>Proportion defective per sample; primary rubric chart.</t>
        </is>
      </c>
      <c r="E25" s="65" t="n"/>
      <c r="F25" s="65" t="n"/>
      <c r="G25" s="65" t="n"/>
      <c r="H25" s="66" t="n"/>
    </row>
    <row r="26" ht="15" customHeight="1" s="56">
      <c r="A26" s="68" t="inlineStr">
        <is>
          <t>P1</t>
        </is>
      </c>
      <c r="B26" s="68" t="inlineStr">
        <is>
          <t>Attribute, fixed n=5</t>
        </is>
      </c>
      <c r="C26" s="68" t="inlineStr">
        <is>
          <t>np-chart</t>
        </is>
      </c>
      <c r="D26" s="68" t="inlineStr">
        <is>
          <t>Count defective; valid because n is constant. Confirms p-chart.</t>
        </is>
      </c>
      <c r="E26" s="65" t="n"/>
      <c r="F26" s="65" t="n"/>
      <c r="G26" s="65" t="n"/>
      <c r="H26" s="66" t="n"/>
    </row>
    <row r="27" ht="15" customHeight="1" s="56">
      <c r="A27" s="68" t="inlineStr">
        <is>
          <t>P1</t>
        </is>
      </c>
      <c r="B27" s="68" t="inlineStr">
        <is>
          <t>Categorical</t>
        </is>
      </c>
      <c r="C27" s="68" t="inlineStr">
        <is>
          <t>Pareto</t>
        </is>
      </c>
      <c r="D27" s="68" t="inlineStr">
        <is>
          <t>Ranks defect contribution by colour to target assignable causes.</t>
        </is>
      </c>
      <c r="E27" s="65" t="n"/>
      <c r="F27" s="65" t="n"/>
      <c r="G27" s="65" t="n"/>
      <c r="H27" s="66" t="n"/>
    </row>
    <row r="28" ht="15" customHeight="1" s="56">
      <c r="A28" s="68" t="inlineStr">
        <is>
          <t>P2</t>
        </is>
      </c>
      <c r="B28" s="68" t="inlineStr">
        <is>
          <t>Count, varying opportunity</t>
        </is>
      </c>
      <c r="C28" s="68" t="inlineStr">
        <is>
          <t>u-chart</t>
        </is>
      </c>
      <c r="D28" s="68" t="inlineStr">
        <is>
          <t>Defects per varying pieces-placed opportunity.</t>
        </is>
      </c>
      <c r="E28" s="65" t="n"/>
      <c r="F28" s="65" t="n"/>
      <c r="G28" s="65" t="n"/>
      <c r="H28" s="66" t="n"/>
    </row>
    <row r="29" ht="15" customHeight="1" s="56">
      <c r="A29" s="68" t="inlineStr">
        <is>
          <t>P2</t>
        </is>
      </c>
      <c r="B29" s="68" t="inlineStr">
        <is>
          <t>Geometric</t>
        </is>
      </c>
      <c r="C29" s="68" t="inlineStr">
        <is>
          <t>g-chart (approx.)</t>
        </is>
      </c>
      <c r="D29" s="68" t="inlineStr">
        <is>
          <t>Acceptable pieces before first defect; higher = better.</t>
        </is>
      </c>
      <c r="E29" s="65" t="n"/>
      <c r="F29" s="65" t="n"/>
      <c r="G29" s="65" t="n"/>
      <c r="H29" s="66" t="n"/>
    </row>
    <row r="30" ht="15" customHeight="1" s="56">
      <c r="A30" s="68" t="inlineStr">
        <is>
          <t>Both</t>
        </is>
      </c>
      <c r="B30" s="68" t="inlineStr">
        <is>
          <t>Proportions</t>
        </is>
      </c>
      <c r="C30" s="68" t="inlineStr">
        <is>
          <t>2-prop z-test</t>
        </is>
      </c>
      <c r="D30" s="68" t="inlineStr">
        <is>
          <t>Tests whether the two processes differ in defect rate.</t>
        </is>
      </c>
      <c r="E30" s="65" t="n"/>
      <c r="F30" s="65" t="n"/>
      <c r="G30" s="65" t="n"/>
      <c r="H30" s="66" t="n"/>
    </row>
    <row r="33" ht="15" customHeight="1" s="56">
      <c r="A33" s="61" t="inlineStr">
        <is>
          <t>GA4 Alignment</t>
        </is>
      </c>
    </row>
    <row r="34" ht="30" customHeight="1" s="56">
      <c r="A34" s="64" t="inlineStr">
        <is>
          <t>GA4 component</t>
        </is>
      </c>
      <c r="B34" s="64" t="inlineStr">
        <is>
          <t>How workbook addresses it</t>
        </is>
      </c>
      <c r="C34" s="64" t="inlineStr">
        <is>
          <t>Evidence sheet</t>
        </is>
      </c>
    </row>
    <row r="35" ht="30" customHeight="1" s="56">
      <c r="A35" s="68" t="inlineStr">
        <is>
          <t>Research method</t>
        </is>
      </c>
      <c r="B35" s="68" t="inlineStr">
        <is>
          <t>Structured attribute sampling (n=5) and run-based assembly sampling; two-phase SPC method.</t>
        </is>
      </c>
      <c r="C35" s="68" t="inlineStr">
        <is>
          <t>P1_Data, P2_Data</t>
        </is>
      </c>
    </row>
    <row r="36" ht="30" customHeight="1" s="56">
      <c r="A36" s="68" t="inlineStr">
        <is>
          <t>Research-based knowledge</t>
        </is>
      </c>
      <c r="B36" s="68" t="inlineStr">
        <is>
          <t>Montgomery SPC formulae for p/np/u charts and capability; 2-sigma DPMO benchmark.</t>
        </is>
      </c>
      <c r="C36" s="68" t="inlineStr">
        <is>
          <t>P1_Analysis, Comparison</t>
        </is>
      </c>
    </row>
    <row r="37" ht="30" customHeight="1" s="56">
      <c r="A37" s="68" t="inlineStr">
        <is>
          <t>Design of experiments</t>
        </is>
      </c>
      <c r="B37" s="68" t="inlineStr">
        <is>
          <t>Two competing processes observed under comparable conditions; defined defect criteria.</t>
        </is>
      </c>
      <c r="C37" s="68" t="inlineStr">
        <is>
          <t>README, P1/P2_Data</t>
        </is>
      </c>
    </row>
    <row r="38" ht="30" customHeight="1" s="56">
      <c r="A38" s="68" t="inlineStr">
        <is>
          <t>Analysis &amp; interpretation</t>
        </is>
      </c>
      <c r="B38" s="68" t="inlineStr">
        <is>
          <t>Two-round p-chart, control-limit calc, Pareto, z-test, cost/throughput.</t>
        </is>
      </c>
      <c r="C38" s="68" t="inlineStr">
        <is>
          <t>P1/P2_Analysis, Comparison</t>
        </is>
      </c>
    </row>
    <row r="39" ht="30" customHeight="1" s="56">
      <c r="A39" s="68" t="inlineStr">
        <is>
          <t>Synthesis of conclusions</t>
        </is>
      </c>
      <c r="B39" s="68" t="inlineStr">
        <is>
          <t>Integrated recommendation from stability, DPMO, cost and throughput.</t>
        </is>
      </c>
      <c r="C39" s="68" t="inlineStr">
        <is>
          <t>Dashboard_Report_Tables</t>
        </is>
      </c>
    </row>
    <row r="41" ht="15" customHeight="1" s="56">
      <c r="A41" s="61" t="inlineStr">
        <is>
          <t>Key Assumptions</t>
        </is>
      </c>
    </row>
    <row r="42" ht="15" customHeight="1" s="56">
      <c r="A42" s="59" t="inlineStr">
        <is>
          <t>• Sample size for Process 1 is fixed at n = 5 pieces.</t>
        </is>
      </c>
    </row>
    <row r="43" ht="15" customHeight="1" s="56">
      <c r="A43" s="59" t="inlineStr">
        <is>
          <t>• Process 1 total: 76 defects over 210 inspected pieces (42 samples).</t>
        </is>
      </c>
    </row>
    <row r="44" ht="15" customHeight="1" s="56">
      <c r="A44" s="59" t="inlineStr">
        <is>
          <t>• Process 2: 30 assembly runs, 30 defect events over 121 pieces-placed opportunities.</t>
        </is>
      </c>
    </row>
    <row r="45" ht="15" customHeight="1" s="56">
      <c r="A45" s="59" t="inlineStr">
        <is>
          <t>• Cost inputs: piece R2, board R5, discarded semi-assembly R20, selling price R25.</t>
        </is>
      </c>
    </row>
    <row r="46" ht="15" customHeight="1" s="56">
      <c r="A46" s="59" t="inlineStr">
        <is>
          <t>• 2-sigma capability benchmark = 308,537 DPMO.</t>
        </is>
      </c>
    </row>
    <row r="47" ht="15" customHeight="1" s="56">
      <c r="A47" s="59" t="inlineStr">
        <is>
          <t>• Control limits use 3-sigma (action) with 1- and 2-sigma zones shown for context.</t>
        </is>
      </c>
    </row>
  </sheetData>
  <mergeCells count="20">
    <mergeCell ref="A45:H45"/>
    <mergeCell ref="B20:H20"/>
    <mergeCell ref="D27:H27"/>
    <mergeCell ref="A46:H46"/>
    <mergeCell ref="A7:H9"/>
    <mergeCell ref="B18:H18"/>
    <mergeCell ref="B21:H21"/>
    <mergeCell ref="D28:H28"/>
    <mergeCell ref="A42:H42"/>
    <mergeCell ref="A47:H47"/>
    <mergeCell ref="A12:H14"/>
    <mergeCell ref="D30:H30"/>
    <mergeCell ref="D25:H25"/>
    <mergeCell ref="B17:H17"/>
    <mergeCell ref="D24:H24"/>
    <mergeCell ref="A43:H43"/>
    <mergeCell ref="D29:H29"/>
    <mergeCell ref="A44:H44"/>
    <mergeCell ref="B19:H19"/>
    <mergeCell ref="D26:H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Z51"/>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5" min="1" max="1"/>
    <col width="13" customWidth="1" style="55" min="2" max="2"/>
    <col width="7" customWidth="1" style="55" min="3" max="3"/>
    <col width="8" customWidth="1" style="55" min="4" max="4"/>
    <col width="16" customWidth="1" style="55" min="5" max="5"/>
    <col width="18" customWidth="1" style="55" min="6" max="6"/>
    <col width="11" customWidth="1" style="55" min="7" max="7"/>
    <col width="15" customWidth="1" style="55" min="8" max="8"/>
    <col width="12" customWidth="1" style="55" min="9" max="9"/>
    <col width="4" customWidth="1" style="55" min="10" max="10"/>
    <col width="9" customWidth="1" style="55" min="11" max="11"/>
    <col width="12" customWidth="1" style="55" min="12" max="12"/>
    <col width="7" customWidth="1" style="55" min="13" max="13"/>
    <col width="6" customWidth="1" style="55" min="14" max="14"/>
    <col width="13" customWidth="1" style="55" min="15" max="15"/>
    <col width="14" customWidth="1" style="55" min="16" max="16"/>
    <col width="16" customWidth="1" style="55" min="17" max="19"/>
    <col width="9" customWidth="1" style="55" min="20" max="20"/>
    <col width="22" customWidth="1" style="55" min="21" max="21"/>
    <col width="30" customWidth="1" style="55" min="22" max="22"/>
    <col width="18" customWidth="1" style="55" min="23" max="23"/>
    <col width="12" customWidth="1" style="55" min="24" max="24"/>
  </cols>
  <sheetData>
    <row r="1" ht="15.75" customHeight="1" s="56">
      <c r="A1" s="69" t="inlineStr">
        <is>
          <t>Process 1 — Inspection Data (bulk feed, n=5, defectives removed before assembly)</t>
        </is>
      </c>
    </row>
    <row r="2" ht="15" customHeight="1" s="56">
      <c r="A2" s="70" t="inlineStr">
        <is>
          <t>Provenance: Defects_d and n were cleaned from process 1.pdf notes and aligned to Data.xlsx structure for analysis; classifications are reconstructed labels. p_i, np_i, Nondefective_Count are formula-derived. Defect criterion: chipped/warped/mis-cut/off-colour piece unusable.</t>
        </is>
      </c>
    </row>
    <row r="3" ht="15" customHeight="1" s="56"/>
    <row r="4" ht="15" customHeight="1" s="56"/>
    <row r="6" ht="42.75" customHeight="1" s="56">
      <c r="A6" s="71" t="inlineStr">
        <is>
          <t>Sample_ID</t>
        </is>
      </c>
      <c r="B6" s="71" t="inlineStr">
        <is>
          <t>Data_Source_Type</t>
        </is>
      </c>
      <c r="C6" s="71" t="inlineStr">
        <is>
          <t>Phase</t>
        </is>
      </c>
      <c r="D6" s="71" t="inlineStr">
        <is>
          <t>Time_Band</t>
        </is>
      </c>
      <c r="E6" s="71" t="inlineStr">
        <is>
          <t>Process_Step</t>
        </is>
      </c>
      <c r="F6" s="71" t="inlineStr">
        <is>
          <t>Sampling_Mode</t>
        </is>
      </c>
      <c r="G6" s="71" t="inlineStr">
        <is>
          <t>Colour</t>
        </is>
      </c>
      <c r="H6" s="71" t="inlineStr">
        <is>
          <t>Shape</t>
        </is>
      </c>
      <c r="I6" s="71" t="inlineStr">
        <is>
          <t>Supplier_or_Bin</t>
        </is>
      </c>
      <c r="J6" s="71" t="inlineStr">
        <is>
          <t>n</t>
        </is>
      </c>
      <c r="K6" s="71" t="inlineStr">
        <is>
          <t>Defects_d</t>
        </is>
      </c>
      <c r="L6" s="71" t="inlineStr">
        <is>
          <t>Nondefective_Count</t>
        </is>
      </c>
      <c r="M6" s="71" t="inlineStr">
        <is>
          <t>p_i</t>
        </is>
      </c>
      <c r="N6" s="71" t="inlineStr">
        <is>
          <t>np_i</t>
        </is>
      </c>
      <c r="O6" s="71" t="inlineStr">
        <is>
          <t>Inspection_Result</t>
        </is>
      </c>
      <c r="P6" s="71" t="inlineStr">
        <is>
          <t>Final_Assembly_ID</t>
        </is>
      </c>
      <c r="Q6" s="71" t="inlineStr">
        <is>
          <t>Final_Product_Defective</t>
        </is>
      </c>
      <c r="R6" s="71" t="inlineStr">
        <is>
          <t>Defects_in_Final_Assembly</t>
        </is>
      </c>
      <c r="S6" s="71" t="inlineStr">
        <is>
          <t>Specific_Defect_Type</t>
        </is>
      </c>
      <c r="T6" s="71" t="inlineStr">
        <is>
          <t>Assignable_Cause_Flag</t>
        </is>
      </c>
      <c r="U6" s="71" t="inlineStr">
        <is>
          <t>Assignable_Cause_Category</t>
        </is>
      </c>
      <c r="V6" s="71" t="inlineStr">
        <is>
          <t>Assignable_Cause_Description</t>
        </is>
      </c>
      <c r="W6" s="71" t="inlineStr">
        <is>
          <t>Operator_Comment</t>
        </is>
      </c>
      <c r="X6" s="71" t="inlineStr">
        <is>
          <t>Analysis_Use</t>
        </is>
      </c>
      <c r="Y6" t="inlineStr">
        <is>
          <t>Raw_Value_Source</t>
        </is>
      </c>
      <c r="Z6" t="inlineStr">
        <is>
          <t>Classification_Source</t>
        </is>
      </c>
    </row>
    <row r="7" ht="15" customHeight="1" s="56">
      <c r="A7" s="72" t="n">
        <v>1</v>
      </c>
      <c r="B7" s="73" t="inlineStr">
        <is>
          <t>Cleaned from notes</t>
        </is>
      </c>
      <c r="C7" s="72" t="inlineStr">
        <is>
          <t>Phase 1</t>
        </is>
      </c>
      <c r="D7" s="74" t="inlineStr">
        <is>
          <t>Early</t>
        </is>
      </c>
      <c r="E7" s="74" t="inlineStr">
        <is>
          <t>Incoming inspection</t>
        </is>
      </c>
      <c r="F7" s="74" t="inlineStr">
        <is>
          <t>Colour-grouped sample</t>
        </is>
      </c>
      <c r="G7" s="73" t="inlineStr">
        <is>
          <t>Red</t>
        </is>
      </c>
      <c r="H7" s="74" t="inlineStr">
        <is>
          <t>Large triangle</t>
        </is>
      </c>
      <c r="I7" s="74" t="inlineStr">
        <is>
          <t>Supplier A</t>
        </is>
      </c>
      <c r="J7" s="72" t="n">
        <v>5</v>
      </c>
      <c r="K7" s="73" t="n">
        <v>3</v>
      </c>
      <c r="L7" s="72">
        <f>J7-K7</f>
        <v/>
      </c>
      <c r="M7" s="75">
        <f>K7/J7</f>
        <v/>
      </c>
      <c r="N7" s="72">
        <f>K7</f>
        <v/>
      </c>
      <c r="O7" s="72">
        <f>IF(K7=0,"Accept",IF(K7&gt;=3,"Reject batch","Rework"))</f>
        <v/>
      </c>
      <c r="P7" s="72" t="n"/>
      <c r="Q7" s="72" t="n"/>
      <c r="R7" s="72" t="n"/>
      <c r="S7" s="74" t="inlineStr">
        <is>
          <t>See colour-level note</t>
        </is>
      </c>
      <c r="T7" s="72" t="n">
        <v>0</v>
      </c>
      <c r="U7" s="74" t="inlineStr">
        <is>
          <t>None</t>
        </is>
      </c>
      <c r="V7" s="74" t="inlineStr">
        <is>
          <t>Within expected colour variation</t>
        </is>
      </c>
      <c r="W7" s="74" t="inlineStr">
        <is>
          <t>Routine</t>
        </is>
      </c>
      <c r="X7" s="72" t="inlineStr">
        <is>
          <t>SPC + Pareto</t>
        </is>
      </c>
      <c r="Y7" t="inlineStr">
        <is>
          <t>process 1.pdf (cleaned from notes; structured using Data.xlsx/C.xlsx guidance)</t>
        </is>
      </c>
      <c r="Z7" t="inlineStr">
        <is>
          <t>Reconstructed classification</t>
        </is>
      </c>
    </row>
    <row r="8" ht="15" customHeight="1" s="56">
      <c r="A8" s="72" t="n">
        <v>2</v>
      </c>
      <c r="B8" s="73" t="inlineStr">
        <is>
          <t>Cleaned from notes</t>
        </is>
      </c>
      <c r="C8" s="72" t="inlineStr">
        <is>
          <t>Phase 1</t>
        </is>
      </c>
      <c r="D8" s="74" t="inlineStr">
        <is>
          <t>Early</t>
        </is>
      </c>
      <c r="E8" s="74" t="inlineStr">
        <is>
          <t>Incoming inspection</t>
        </is>
      </c>
      <c r="F8" s="74" t="inlineStr">
        <is>
          <t>Colour-grouped sample</t>
        </is>
      </c>
      <c r="G8" s="73" t="inlineStr">
        <is>
          <t>Red</t>
        </is>
      </c>
      <c r="H8" s="74" t="inlineStr">
        <is>
          <t>Large triangle</t>
        </is>
      </c>
      <c r="I8" s="74" t="inlineStr">
        <is>
          <t>Supplier A</t>
        </is>
      </c>
      <c r="J8" s="72" t="n">
        <v>5</v>
      </c>
      <c r="K8" s="73" t="n">
        <v>0</v>
      </c>
      <c r="L8" s="72">
        <f>J8-K8</f>
        <v/>
      </c>
      <c r="M8" s="75">
        <f>K8/J8</f>
        <v/>
      </c>
      <c r="N8" s="72">
        <f>K8</f>
        <v/>
      </c>
      <c r="O8" s="72">
        <f>IF(K8=0,"Accept",IF(K8&gt;=3,"Reject batch","Rework"))</f>
        <v/>
      </c>
      <c r="P8" s="72" t="n"/>
      <c r="Q8" s="72" t="n"/>
      <c r="R8" s="72" t="n"/>
      <c r="S8" s="74" t="inlineStr">
        <is>
          <t>None</t>
        </is>
      </c>
      <c r="T8" s="72" t="n">
        <v>0</v>
      </c>
      <c r="U8" s="74" t="inlineStr">
        <is>
          <t>None</t>
        </is>
      </c>
      <c r="V8" s="74" t="inlineStr">
        <is>
          <t>Within expected colour variation</t>
        </is>
      </c>
      <c r="W8" s="74" t="inlineStr">
        <is>
          <t>Routine</t>
        </is>
      </c>
      <c r="X8" s="72" t="inlineStr">
        <is>
          <t>SPC + Pareto</t>
        </is>
      </c>
      <c r="Y8" t="inlineStr">
        <is>
          <t>process 1.pdf (cleaned from notes; structured using Data.xlsx/C.xlsx guidance)</t>
        </is>
      </c>
      <c r="Z8" t="inlineStr">
        <is>
          <t>Reconstructed classification</t>
        </is>
      </c>
    </row>
    <row r="9" ht="15" customHeight="1" s="56">
      <c r="A9" s="72" t="n">
        <v>3</v>
      </c>
      <c r="B9" s="73" t="inlineStr">
        <is>
          <t>Cleaned from notes</t>
        </is>
      </c>
      <c r="C9" s="72" t="inlineStr">
        <is>
          <t>Phase 1</t>
        </is>
      </c>
      <c r="D9" s="74" t="inlineStr">
        <is>
          <t>Early</t>
        </is>
      </c>
      <c r="E9" s="74" t="inlineStr">
        <is>
          <t>Incoming inspection</t>
        </is>
      </c>
      <c r="F9" s="74" t="inlineStr">
        <is>
          <t>Colour-grouped sample</t>
        </is>
      </c>
      <c r="G9" s="73" t="inlineStr">
        <is>
          <t>Red</t>
        </is>
      </c>
      <c r="H9" s="74" t="inlineStr">
        <is>
          <t>Large triangle</t>
        </is>
      </c>
      <c r="I9" s="74" t="inlineStr">
        <is>
          <t>Supplier A</t>
        </is>
      </c>
      <c r="J9" s="72" t="n">
        <v>5</v>
      </c>
      <c r="K9" s="73" t="n">
        <v>4</v>
      </c>
      <c r="L9" s="72">
        <f>J9-K9</f>
        <v/>
      </c>
      <c r="M9" s="75">
        <f>K9/J9</f>
        <v/>
      </c>
      <c r="N9" s="72">
        <f>K9</f>
        <v/>
      </c>
      <c r="O9" s="72">
        <f>IF(K9=0,"Accept",IF(K9&gt;=3,"Reject batch","Rework"))</f>
        <v/>
      </c>
      <c r="P9" s="72" t="n"/>
      <c r="Q9" s="72" t="n"/>
      <c r="R9" s="72" t="n"/>
      <c r="S9" s="74" t="inlineStr">
        <is>
          <t>See colour-level note</t>
        </is>
      </c>
      <c r="T9" s="76" t="n">
        <v>1</v>
      </c>
      <c r="U9" s="76" t="inlineStr">
        <is>
          <t>Supplier-related defect concentration</t>
        </is>
      </c>
      <c r="V9" s="74" t="inlineStr">
        <is>
          <t>Red block shows elevated defect rate; possible supplier/bin issue</t>
        </is>
      </c>
      <c r="W9" s="74" t="inlineStr">
        <is>
          <t>High-defect colour batch</t>
        </is>
      </c>
      <c r="X9" s="72" t="inlineStr">
        <is>
          <t>SPC + Pareto</t>
        </is>
      </c>
      <c r="Y9" t="inlineStr">
        <is>
          <t>process 1.pdf (cleaned from notes; structured using Data.xlsx/C.xlsx guidance)</t>
        </is>
      </c>
      <c r="Z9" t="inlineStr">
        <is>
          <t>Reconstructed classification</t>
        </is>
      </c>
    </row>
    <row r="10" ht="15" customHeight="1" s="56">
      <c r="A10" s="72" t="n">
        <v>4</v>
      </c>
      <c r="B10" s="73" t="inlineStr">
        <is>
          <t>Cleaned from notes</t>
        </is>
      </c>
      <c r="C10" s="72" t="inlineStr">
        <is>
          <t>Phase 1</t>
        </is>
      </c>
      <c r="D10" s="74" t="inlineStr">
        <is>
          <t>Early</t>
        </is>
      </c>
      <c r="E10" s="74" t="inlineStr">
        <is>
          <t>Incoming inspection</t>
        </is>
      </c>
      <c r="F10" s="74" t="inlineStr">
        <is>
          <t>Colour-grouped sample</t>
        </is>
      </c>
      <c r="G10" s="73" t="inlineStr">
        <is>
          <t>Red</t>
        </is>
      </c>
      <c r="H10" s="74" t="inlineStr">
        <is>
          <t>Large triangle</t>
        </is>
      </c>
      <c r="I10" s="74" t="inlineStr">
        <is>
          <t>Supplier A</t>
        </is>
      </c>
      <c r="J10" s="72" t="n">
        <v>5</v>
      </c>
      <c r="K10" s="73" t="n">
        <v>2</v>
      </c>
      <c r="L10" s="72">
        <f>J10-K10</f>
        <v/>
      </c>
      <c r="M10" s="75">
        <f>K10/J10</f>
        <v/>
      </c>
      <c r="N10" s="72">
        <f>K10</f>
        <v/>
      </c>
      <c r="O10" s="72">
        <f>IF(K10=0,"Accept",IF(K10&gt;=3,"Reject batch","Rework"))</f>
        <v/>
      </c>
      <c r="P10" s="72" t="n"/>
      <c r="Q10" s="72" t="n"/>
      <c r="R10" s="72" t="n"/>
      <c r="S10" s="74" t="inlineStr">
        <is>
          <t>See colour-level note</t>
        </is>
      </c>
      <c r="T10" s="72" t="n">
        <v>0</v>
      </c>
      <c r="U10" s="74" t="inlineStr">
        <is>
          <t>None</t>
        </is>
      </c>
      <c r="V10" s="74" t="inlineStr">
        <is>
          <t>Within expected colour variation</t>
        </is>
      </c>
      <c r="W10" s="74" t="inlineStr">
        <is>
          <t>Routine</t>
        </is>
      </c>
      <c r="X10" s="72" t="inlineStr">
        <is>
          <t>SPC + Pareto</t>
        </is>
      </c>
      <c r="Y10" t="inlineStr">
        <is>
          <t>process 1.pdf (cleaned from notes; structured using Data.xlsx/C.xlsx guidance)</t>
        </is>
      </c>
      <c r="Z10" t="inlineStr">
        <is>
          <t>Reconstructed classification</t>
        </is>
      </c>
    </row>
    <row r="11" ht="15" customHeight="1" s="56">
      <c r="A11" s="72" t="n">
        <v>5</v>
      </c>
      <c r="B11" s="73" t="inlineStr">
        <is>
          <t>Cleaned from notes</t>
        </is>
      </c>
      <c r="C11" s="72" t="inlineStr">
        <is>
          <t>Phase 1</t>
        </is>
      </c>
      <c r="D11" s="74" t="inlineStr">
        <is>
          <t>Early</t>
        </is>
      </c>
      <c r="E11" s="74" t="inlineStr">
        <is>
          <t>Incoming inspection</t>
        </is>
      </c>
      <c r="F11" s="74" t="inlineStr">
        <is>
          <t>Colour-grouped sample</t>
        </is>
      </c>
      <c r="G11" s="73" t="inlineStr">
        <is>
          <t>Red</t>
        </is>
      </c>
      <c r="H11" s="74" t="inlineStr">
        <is>
          <t>Large triangle</t>
        </is>
      </c>
      <c r="I11" s="74" t="inlineStr">
        <is>
          <t>Supplier A</t>
        </is>
      </c>
      <c r="J11" s="72" t="n">
        <v>5</v>
      </c>
      <c r="K11" s="73" t="n">
        <v>3</v>
      </c>
      <c r="L11" s="72">
        <f>J11-K11</f>
        <v/>
      </c>
      <c r="M11" s="75">
        <f>K11/J11</f>
        <v/>
      </c>
      <c r="N11" s="72">
        <f>K11</f>
        <v/>
      </c>
      <c r="O11" s="72">
        <f>IF(K11=0,"Accept",IF(K11&gt;=3,"Reject batch","Rework"))</f>
        <v/>
      </c>
      <c r="P11" s="72" t="n"/>
      <c r="Q11" s="72" t="n"/>
      <c r="R11" s="72" t="n"/>
      <c r="S11" s="74" t="inlineStr">
        <is>
          <t>See colour-level note</t>
        </is>
      </c>
      <c r="T11" s="72" t="n">
        <v>0</v>
      </c>
      <c r="U11" s="74" t="inlineStr">
        <is>
          <t>None</t>
        </is>
      </c>
      <c r="V11" s="74" t="inlineStr">
        <is>
          <t>Within expected colour variation</t>
        </is>
      </c>
      <c r="W11" s="74" t="inlineStr">
        <is>
          <t>Routine</t>
        </is>
      </c>
      <c r="X11" s="72" t="inlineStr">
        <is>
          <t>SPC + Pareto</t>
        </is>
      </c>
      <c r="Y11" t="inlineStr">
        <is>
          <t>process 1.pdf (cleaned from notes; structured using Data.xlsx/C.xlsx guidance)</t>
        </is>
      </c>
      <c r="Z11" t="inlineStr">
        <is>
          <t>Reconstructed classification</t>
        </is>
      </c>
    </row>
    <row r="12" ht="15" customHeight="1" s="56">
      <c r="A12" s="72" t="n">
        <v>6</v>
      </c>
      <c r="B12" s="73" t="inlineStr">
        <is>
          <t>Cleaned from notes</t>
        </is>
      </c>
      <c r="C12" s="72" t="inlineStr">
        <is>
          <t>Phase 1</t>
        </is>
      </c>
      <c r="D12" s="74" t="inlineStr">
        <is>
          <t>Early</t>
        </is>
      </c>
      <c r="E12" s="74" t="inlineStr">
        <is>
          <t>Incoming inspection</t>
        </is>
      </c>
      <c r="F12" s="74" t="inlineStr">
        <is>
          <t>Colour-grouped sample</t>
        </is>
      </c>
      <c r="G12" s="73" t="inlineStr">
        <is>
          <t>Red</t>
        </is>
      </c>
      <c r="H12" s="74" t="inlineStr">
        <is>
          <t>Large triangle</t>
        </is>
      </c>
      <c r="I12" s="74" t="inlineStr">
        <is>
          <t>Supplier A</t>
        </is>
      </c>
      <c r="J12" s="72" t="n">
        <v>5</v>
      </c>
      <c r="K12" s="73" t="n">
        <v>2</v>
      </c>
      <c r="L12" s="72">
        <f>J12-K12</f>
        <v/>
      </c>
      <c r="M12" s="75">
        <f>K12/J12</f>
        <v/>
      </c>
      <c r="N12" s="72">
        <f>K12</f>
        <v/>
      </c>
      <c r="O12" s="72">
        <f>IF(K12=0,"Accept",IF(K12&gt;=3,"Reject batch","Rework"))</f>
        <v/>
      </c>
      <c r="P12" s="72" t="n"/>
      <c r="Q12" s="72" t="n"/>
      <c r="R12" s="72" t="n"/>
      <c r="S12" s="74" t="inlineStr">
        <is>
          <t>See colour-level note</t>
        </is>
      </c>
      <c r="T12" s="72" t="n">
        <v>0</v>
      </c>
      <c r="U12" s="74" t="inlineStr">
        <is>
          <t>None</t>
        </is>
      </c>
      <c r="V12" s="74" t="inlineStr">
        <is>
          <t>Within expected colour variation</t>
        </is>
      </c>
      <c r="W12" s="74" t="inlineStr">
        <is>
          <t>Routine</t>
        </is>
      </c>
      <c r="X12" s="72" t="inlineStr">
        <is>
          <t>SPC + Pareto</t>
        </is>
      </c>
      <c r="Y12" t="inlineStr">
        <is>
          <t>process 1.pdf (cleaned from notes; structured using Data.xlsx/C.xlsx guidance)</t>
        </is>
      </c>
      <c r="Z12" t="inlineStr">
        <is>
          <t>Reconstructed classification</t>
        </is>
      </c>
    </row>
    <row r="13" ht="15" customHeight="1" s="56">
      <c r="A13" s="72" t="n">
        <v>7</v>
      </c>
      <c r="B13" s="73" t="inlineStr">
        <is>
          <t>Cleaned from notes</t>
        </is>
      </c>
      <c r="C13" s="72" t="inlineStr">
        <is>
          <t>Phase 1</t>
        </is>
      </c>
      <c r="D13" s="74" t="inlineStr">
        <is>
          <t>Early</t>
        </is>
      </c>
      <c r="E13" s="74" t="inlineStr">
        <is>
          <t>Incoming inspection</t>
        </is>
      </c>
      <c r="F13" s="74" t="inlineStr">
        <is>
          <t>Colour-grouped sample</t>
        </is>
      </c>
      <c r="G13" s="73" t="inlineStr">
        <is>
          <t>Yellow</t>
        </is>
      </c>
      <c r="H13" s="74" t="inlineStr">
        <is>
          <t>Medium triangle</t>
        </is>
      </c>
      <c r="I13" s="74" t="inlineStr">
        <is>
          <t>Supplier A</t>
        </is>
      </c>
      <c r="J13" s="72" t="n">
        <v>5</v>
      </c>
      <c r="K13" s="73" t="n">
        <v>4</v>
      </c>
      <c r="L13" s="72">
        <f>J13-K13</f>
        <v/>
      </c>
      <c r="M13" s="75">
        <f>K13/J13</f>
        <v/>
      </c>
      <c r="N13" s="72">
        <f>K13</f>
        <v/>
      </c>
      <c r="O13" s="72">
        <f>IF(K13=0,"Accept",IF(K13&gt;=3,"Reject batch","Rework"))</f>
        <v/>
      </c>
      <c r="P13" s="72" t="n"/>
      <c r="Q13" s="72" t="n"/>
      <c r="R13" s="72" t="n"/>
      <c r="S13" s="74" t="inlineStr">
        <is>
          <t>See colour-level note</t>
        </is>
      </c>
      <c r="T13" s="76" t="n">
        <v>1</v>
      </c>
      <c r="U13" s="76" t="inlineStr">
        <is>
          <t>Supplier-related defect concentration</t>
        </is>
      </c>
      <c r="V13" s="74" t="inlineStr">
        <is>
          <t>Yellow block shows elevated defect rate; possible supplier/bin issue</t>
        </is>
      </c>
      <c r="W13" s="74" t="inlineStr">
        <is>
          <t>High-defect colour batch</t>
        </is>
      </c>
      <c r="X13" s="72" t="inlineStr">
        <is>
          <t>SPC + Pareto</t>
        </is>
      </c>
      <c r="Y13" t="inlineStr">
        <is>
          <t>process 1.pdf (cleaned from notes; structured using Data.xlsx/C.xlsx guidance)</t>
        </is>
      </c>
      <c r="Z13" t="inlineStr">
        <is>
          <t>Reconstructed classification</t>
        </is>
      </c>
    </row>
    <row r="14" ht="15" customHeight="1" s="56">
      <c r="A14" s="72" t="n">
        <v>8</v>
      </c>
      <c r="B14" s="73" t="inlineStr">
        <is>
          <t>Cleaned from notes</t>
        </is>
      </c>
      <c r="C14" s="72" t="inlineStr">
        <is>
          <t>Phase 1</t>
        </is>
      </c>
      <c r="D14" s="74" t="inlineStr">
        <is>
          <t>Early</t>
        </is>
      </c>
      <c r="E14" s="74" t="inlineStr">
        <is>
          <t>Incoming inspection</t>
        </is>
      </c>
      <c r="F14" s="74" t="inlineStr">
        <is>
          <t>Colour-grouped sample</t>
        </is>
      </c>
      <c r="G14" s="73" t="inlineStr">
        <is>
          <t>Yellow</t>
        </is>
      </c>
      <c r="H14" s="74" t="inlineStr">
        <is>
          <t>Medium triangle</t>
        </is>
      </c>
      <c r="I14" s="74" t="inlineStr">
        <is>
          <t>Supplier A</t>
        </is>
      </c>
      <c r="J14" s="72" t="n">
        <v>5</v>
      </c>
      <c r="K14" s="73" t="n">
        <v>3</v>
      </c>
      <c r="L14" s="72">
        <f>J14-K14</f>
        <v/>
      </c>
      <c r="M14" s="75">
        <f>K14/J14</f>
        <v/>
      </c>
      <c r="N14" s="72">
        <f>K14</f>
        <v/>
      </c>
      <c r="O14" s="72">
        <f>IF(K14=0,"Accept",IF(K14&gt;=3,"Reject batch","Rework"))</f>
        <v/>
      </c>
      <c r="P14" s="72" t="n"/>
      <c r="Q14" s="72" t="n"/>
      <c r="R14" s="72" t="n"/>
      <c r="S14" s="74" t="inlineStr">
        <is>
          <t>See colour-level note</t>
        </is>
      </c>
      <c r="T14" s="72" t="n">
        <v>0</v>
      </c>
      <c r="U14" s="74" t="inlineStr">
        <is>
          <t>None</t>
        </is>
      </c>
      <c r="V14" s="74" t="inlineStr">
        <is>
          <t>Within expected colour variation</t>
        </is>
      </c>
      <c r="W14" s="74" t="inlineStr">
        <is>
          <t>Routine</t>
        </is>
      </c>
      <c r="X14" s="72" t="inlineStr">
        <is>
          <t>SPC + Pareto</t>
        </is>
      </c>
      <c r="Y14" t="inlineStr">
        <is>
          <t>process 1.pdf (cleaned from notes; structured using Data.xlsx/C.xlsx guidance)</t>
        </is>
      </c>
      <c r="Z14" t="inlineStr">
        <is>
          <t>Reconstructed classification</t>
        </is>
      </c>
    </row>
    <row r="15" ht="15" customHeight="1" s="56">
      <c r="A15" s="72" t="n">
        <v>9</v>
      </c>
      <c r="B15" s="73" t="inlineStr">
        <is>
          <t>Cleaned from notes</t>
        </is>
      </c>
      <c r="C15" s="72" t="inlineStr">
        <is>
          <t>Phase 1</t>
        </is>
      </c>
      <c r="D15" s="74" t="inlineStr">
        <is>
          <t>Early</t>
        </is>
      </c>
      <c r="E15" s="74" t="inlineStr">
        <is>
          <t>Incoming inspection</t>
        </is>
      </c>
      <c r="F15" s="74" t="inlineStr">
        <is>
          <t>Colour-grouped sample</t>
        </is>
      </c>
      <c r="G15" s="73" t="inlineStr">
        <is>
          <t>Yellow</t>
        </is>
      </c>
      <c r="H15" s="74" t="inlineStr">
        <is>
          <t>Medium triangle</t>
        </is>
      </c>
      <c r="I15" s="74" t="inlineStr">
        <is>
          <t>Supplier A</t>
        </is>
      </c>
      <c r="J15" s="72" t="n">
        <v>5</v>
      </c>
      <c r="K15" s="73" t="n">
        <v>3</v>
      </c>
      <c r="L15" s="72">
        <f>J15-K15</f>
        <v/>
      </c>
      <c r="M15" s="75">
        <f>K15/J15</f>
        <v/>
      </c>
      <c r="N15" s="72">
        <f>K15</f>
        <v/>
      </c>
      <c r="O15" s="72">
        <f>IF(K15=0,"Accept",IF(K15&gt;=3,"Reject batch","Rework"))</f>
        <v/>
      </c>
      <c r="P15" s="72" t="n"/>
      <c r="Q15" s="72" t="n"/>
      <c r="R15" s="72" t="n"/>
      <c r="S15" s="74" t="inlineStr">
        <is>
          <t>See colour-level note</t>
        </is>
      </c>
      <c r="T15" s="72" t="n">
        <v>0</v>
      </c>
      <c r="U15" s="74" t="inlineStr">
        <is>
          <t>None</t>
        </is>
      </c>
      <c r="V15" s="74" t="inlineStr">
        <is>
          <t>Within expected colour variation</t>
        </is>
      </c>
      <c r="W15" s="74" t="inlineStr">
        <is>
          <t>Routine</t>
        </is>
      </c>
      <c r="X15" s="72" t="inlineStr">
        <is>
          <t>SPC + Pareto</t>
        </is>
      </c>
      <c r="Y15" t="inlineStr">
        <is>
          <t>process 1.pdf (cleaned from notes; structured using Data.xlsx/C.xlsx guidance)</t>
        </is>
      </c>
      <c r="Z15" t="inlineStr">
        <is>
          <t>Reconstructed classification</t>
        </is>
      </c>
    </row>
    <row r="16" ht="15" customHeight="1" s="56">
      <c r="A16" s="72" t="n">
        <v>10</v>
      </c>
      <c r="B16" s="73" t="inlineStr">
        <is>
          <t>Cleaned from notes</t>
        </is>
      </c>
      <c r="C16" s="72" t="inlineStr">
        <is>
          <t>Phase 1</t>
        </is>
      </c>
      <c r="D16" s="74" t="inlineStr">
        <is>
          <t>Early</t>
        </is>
      </c>
      <c r="E16" s="74" t="inlineStr">
        <is>
          <t>Incoming inspection</t>
        </is>
      </c>
      <c r="F16" s="74" t="inlineStr">
        <is>
          <t>Colour-grouped sample</t>
        </is>
      </c>
      <c r="G16" s="73" t="inlineStr">
        <is>
          <t>Yellow</t>
        </is>
      </c>
      <c r="H16" s="74" t="inlineStr">
        <is>
          <t>Medium triangle</t>
        </is>
      </c>
      <c r="I16" s="74" t="inlineStr">
        <is>
          <t>Supplier A</t>
        </is>
      </c>
      <c r="J16" s="72" t="n">
        <v>5</v>
      </c>
      <c r="K16" s="73" t="n">
        <v>1</v>
      </c>
      <c r="L16" s="72">
        <f>J16-K16</f>
        <v/>
      </c>
      <c r="M16" s="75">
        <f>K16/J16</f>
        <v/>
      </c>
      <c r="N16" s="72">
        <f>K16</f>
        <v/>
      </c>
      <c r="O16" s="72">
        <f>IF(K16=0,"Accept",IF(K16&gt;=3,"Reject batch","Rework"))</f>
        <v/>
      </c>
      <c r="P16" s="72" t="n"/>
      <c r="Q16" s="72" t="n"/>
      <c r="R16" s="72" t="n"/>
      <c r="S16" s="74" t="inlineStr">
        <is>
          <t>See colour-level note</t>
        </is>
      </c>
      <c r="T16" s="72" t="n">
        <v>0</v>
      </c>
      <c r="U16" s="74" t="inlineStr">
        <is>
          <t>None</t>
        </is>
      </c>
      <c r="V16" s="74" t="inlineStr">
        <is>
          <t>Within expected colour variation</t>
        </is>
      </c>
      <c r="W16" s="74" t="inlineStr">
        <is>
          <t>Routine</t>
        </is>
      </c>
      <c r="X16" s="72" t="inlineStr">
        <is>
          <t>SPC + Pareto</t>
        </is>
      </c>
      <c r="Y16" t="inlineStr">
        <is>
          <t>process 1.pdf (cleaned from notes; structured using Data.xlsx/C.xlsx guidance)</t>
        </is>
      </c>
      <c r="Z16" t="inlineStr">
        <is>
          <t>Reconstructed classification</t>
        </is>
      </c>
    </row>
    <row r="17" ht="15" customHeight="1" s="56">
      <c r="A17" s="72" t="n">
        <v>11</v>
      </c>
      <c r="B17" s="73" t="inlineStr">
        <is>
          <t>Cleaned from notes</t>
        </is>
      </c>
      <c r="C17" s="72" t="inlineStr">
        <is>
          <t>Phase 1</t>
        </is>
      </c>
      <c r="D17" s="74" t="inlineStr">
        <is>
          <t>Early</t>
        </is>
      </c>
      <c r="E17" s="74" t="inlineStr">
        <is>
          <t>Incoming inspection</t>
        </is>
      </c>
      <c r="F17" s="74" t="inlineStr">
        <is>
          <t>Colour-grouped sample</t>
        </is>
      </c>
      <c r="G17" s="73" t="inlineStr">
        <is>
          <t>Yellow</t>
        </is>
      </c>
      <c r="H17" s="74" t="inlineStr">
        <is>
          <t>Medium triangle</t>
        </is>
      </c>
      <c r="I17" s="74" t="inlineStr">
        <is>
          <t>Supplier A</t>
        </is>
      </c>
      <c r="J17" s="72" t="n">
        <v>5</v>
      </c>
      <c r="K17" s="73" t="n">
        <v>2</v>
      </c>
      <c r="L17" s="72">
        <f>J17-K17</f>
        <v/>
      </c>
      <c r="M17" s="75">
        <f>K17/J17</f>
        <v/>
      </c>
      <c r="N17" s="72">
        <f>K17</f>
        <v/>
      </c>
      <c r="O17" s="72">
        <f>IF(K17=0,"Accept",IF(K17&gt;=3,"Reject batch","Rework"))</f>
        <v/>
      </c>
      <c r="P17" s="72" t="n"/>
      <c r="Q17" s="72" t="n"/>
      <c r="R17" s="72" t="n"/>
      <c r="S17" s="74" t="inlineStr">
        <is>
          <t>See colour-level note</t>
        </is>
      </c>
      <c r="T17" s="72" t="n">
        <v>0</v>
      </c>
      <c r="U17" s="74" t="inlineStr">
        <is>
          <t>None</t>
        </is>
      </c>
      <c r="V17" s="74" t="inlineStr">
        <is>
          <t>Within expected colour variation</t>
        </is>
      </c>
      <c r="W17" s="74" t="inlineStr">
        <is>
          <t>Routine</t>
        </is>
      </c>
      <c r="X17" s="72" t="inlineStr">
        <is>
          <t>SPC + Pareto</t>
        </is>
      </c>
      <c r="Y17" t="inlineStr">
        <is>
          <t>process 1.pdf (cleaned from notes; structured using Data.xlsx/C.xlsx guidance)</t>
        </is>
      </c>
      <c r="Z17" t="inlineStr">
        <is>
          <t>Reconstructed classification</t>
        </is>
      </c>
    </row>
    <row r="18" ht="15" customHeight="1" s="56">
      <c r="A18" s="72" t="n">
        <v>12</v>
      </c>
      <c r="B18" s="73" t="inlineStr">
        <is>
          <t>Cleaned from notes</t>
        </is>
      </c>
      <c r="C18" s="72" t="inlineStr">
        <is>
          <t>Phase 1</t>
        </is>
      </c>
      <c r="D18" s="74" t="inlineStr">
        <is>
          <t>Early</t>
        </is>
      </c>
      <c r="E18" s="74" t="inlineStr">
        <is>
          <t>Incoming inspection</t>
        </is>
      </c>
      <c r="F18" s="74" t="inlineStr">
        <is>
          <t>Colour-grouped sample</t>
        </is>
      </c>
      <c r="G18" s="73" t="inlineStr">
        <is>
          <t>Yellow</t>
        </is>
      </c>
      <c r="H18" s="74" t="inlineStr">
        <is>
          <t>Medium triangle</t>
        </is>
      </c>
      <c r="I18" s="74" t="inlineStr">
        <is>
          <t>Supplier A</t>
        </is>
      </c>
      <c r="J18" s="72" t="n">
        <v>5</v>
      </c>
      <c r="K18" s="73" t="n">
        <v>1</v>
      </c>
      <c r="L18" s="72">
        <f>J18-K18</f>
        <v/>
      </c>
      <c r="M18" s="75">
        <f>K18/J18</f>
        <v/>
      </c>
      <c r="N18" s="72">
        <f>K18</f>
        <v/>
      </c>
      <c r="O18" s="72">
        <f>IF(K18=0,"Accept",IF(K18&gt;=3,"Reject batch","Rework"))</f>
        <v/>
      </c>
      <c r="P18" s="72" t="n"/>
      <c r="Q18" s="72" t="n"/>
      <c r="R18" s="72" t="n"/>
      <c r="S18" s="74" t="inlineStr">
        <is>
          <t>See colour-level note</t>
        </is>
      </c>
      <c r="T18" s="72" t="n">
        <v>0</v>
      </c>
      <c r="U18" s="74" t="inlineStr">
        <is>
          <t>None</t>
        </is>
      </c>
      <c r="V18" s="74" t="inlineStr">
        <is>
          <t>Within expected colour variation</t>
        </is>
      </c>
      <c r="W18" s="74" t="inlineStr">
        <is>
          <t>Routine</t>
        </is>
      </c>
      <c r="X18" s="72" t="inlineStr">
        <is>
          <t>SPC + Pareto</t>
        </is>
      </c>
      <c r="Y18" t="inlineStr">
        <is>
          <t>process 1.pdf (cleaned from notes; structured using Data.xlsx/C.xlsx guidance)</t>
        </is>
      </c>
      <c r="Z18" t="inlineStr">
        <is>
          <t>Reconstructed classification</t>
        </is>
      </c>
    </row>
    <row r="19" ht="15" customHeight="1" s="56">
      <c r="A19" s="72" t="n">
        <v>13</v>
      </c>
      <c r="B19" s="73" t="inlineStr">
        <is>
          <t>Cleaned from notes</t>
        </is>
      </c>
      <c r="C19" s="72" t="inlineStr">
        <is>
          <t>Phase 1</t>
        </is>
      </c>
      <c r="D19" s="74" t="inlineStr">
        <is>
          <t>Early</t>
        </is>
      </c>
      <c r="E19" s="74" t="inlineStr">
        <is>
          <t>Incoming inspection</t>
        </is>
      </c>
      <c r="F19" s="74" t="inlineStr">
        <is>
          <t>Colour-grouped sample</t>
        </is>
      </c>
      <c r="G19" s="73" t="inlineStr">
        <is>
          <t>White</t>
        </is>
      </c>
      <c r="H19" s="74" t="inlineStr">
        <is>
          <t>Small triangle</t>
        </is>
      </c>
      <c r="I19" s="74" t="inlineStr">
        <is>
          <t>Supplier A</t>
        </is>
      </c>
      <c r="J19" s="72" t="n">
        <v>5</v>
      </c>
      <c r="K19" s="73" t="n">
        <v>3</v>
      </c>
      <c r="L19" s="72">
        <f>J19-K19</f>
        <v/>
      </c>
      <c r="M19" s="75">
        <f>K19/J19</f>
        <v/>
      </c>
      <c r="N19" s="72">
        <f>K19</f>
        <v/>
      </c>
      <c r="O19" s="72">
        <f>IF(K19=0,"Accept",IF(K19&gt;=3,"Reject batch","Rework"))</f>
        <v/>
      </c>
      <c r="P19" s="72" t="n"/>
      <c r="Q19" s="72" t="n"/>
      <c r="R19" s="72" t="n"/>
      <c r="S19" s="74" t="inlineStr">
        <is>
          <t>See colour-level note</t>
        </is>
      </c>
      <c r="T19" s="72" t="n">
        <v>0</v>
      </c>
      <c r="U19" s="74" t="inlineStr">
        <is>
          <t>None</t>
        </is>
      </c>
      <c r="V19" s="74" t="inlineStr">
        <is>
          <t>Within expected colour variation</t>
        </is>
      </c>
      <c r="W19" s="74" t="inlineStr">
        <is>
          <t>Routine</t>
        </is>
      </c>
      <c r="X19" s="72" t="inlineStr">
        <is>
          <t>SPC + Pareto</t>
        </is>
      </c>
      <c r="Y19" t="inlineStr">
        <is>
          <t>process 1.pdf (cleaned from notes; structured using Data.xlsx/C.xlsx guidance)</t>
        </is>
      </c>
      <c r="Z19" t="inlineStr">
        <is>
          <t>Reconstructed classification</t>
        </is>
      </c>
    </row>
    <row r="20" ht="15" customHeight="1" s="56">
      <c r="A20" s="72" t="n">
        <v>14</v>
      </c>
      <c r="B20" s="73" t="inlineStr">
        <is>
          <t>Cleaned from notes</t>
        </is>
      </c>
      <c r="C20" s="72" t="inlineStr">
        <is>
          <t>Phase 1</t>
        </is>
      </c>
      <c r="D20" s="74" t="inlineStr">
        <is>
          <t>Early</t>
        </is>
      </c>
      <c r="E20" s="74" t="inlineStr">
        <is>
          <t>Incoming inspection</t>
        </is>
      </c>
      <c r="F20" s="74" t="inlineStr">
        <is>
          <t>Colour-grouped sample</t>
        </is>
      </c>
      <c r="G20" s="73" t="inlineStr">
        <is>
          <t>White</t>
        </is>
      </c>
      <c r="H20" s="74" t="inlineStr">
        <is>
          <t>Small triangle</t>
        </is>
      </c>
      <c r="I20" s="74" t="inlineStr">
        <is>
          <t>Supplier A</t>
        </is>
      </c>
      <c r="J20" s="72" t="n">
        <v>5</v>
      </c>
      <c r="K20" s="73" t="n">
        <v>4</v>
      </c>
      <c r="L20" s="72">
        <f>J20-K20</f>
        <v/>
      </c>
      <c r="M20" s="75">
        <f>K20/J20</f>
        <v/>
      </c>
      <c r="N20" s="72">
        <f>K20</f>
        <v/>
      </c>
      <c r="O20" s="72">
        <f>IF(K20=0,"Accept",IF(K20&gt;=3,"Reject batch","Rework"))</f>
        <v/>
      </c>
      <c r="P20" s="72" t="n"/>
      <c r="Q20" s="72" t="n"/>
      <c r="R20" s="72" t="n"/>
      <c r="S20" s="74" t="inlineStr">
        <is>
          <t>See colour-level note</t>
        </is>
      </c>
      <c r="T20" s="76" t="n">
        <v>1</v>
      </c>
      <c r="U20" s="76" t="inlineStr">
        <is>
          <t>Supplier-related defect concentration</t>
        </is>
      </c>
      <c r="V20" s="74" t="inlineStr">
        <is>
          <t>White block shows elevated defect rate; possible supplier/bin issue</t>
        </is>
      </c>
      <c r="W20" s="74" t="inlineStr">
        <is>
          <t>High-defect colour batch</t>
        </is>
      </c>
      <c r="X20" s="72" t="inlineStr">
        <is>
          <t>SPC + Pareto</t>
        </is>
      </c>
      <c r="Y20" t="inlineStr">
        <is>
          <t>process 1.pdf (cleaned from notes; structured using Data.xlsx/C.xlsx guidance)</t>
        </is>
      </c>
      <c r="Z20" t="inlineStr">
        <is>
          <t>Reconstructed classification</t>
        </is>
      </c>
    </row>
    <row r="21" ht="15" customHeight="1" s="56">
      <c r="A21" s="72" t="n">
        <v>15</v>
      </c>
      <c r="B21" s="73" t="inlineStr">
        <is>
          <t>Cleaned from notes</t>
        </is>
      </c>
      <c r="C21" s="72" t="inlineStr">
        <is>
          <t>Phase 1</t>
        </is>
      </c>
      <c r="D21" s="74" t="inlineStr">
        <is>
          <t>Middle</t>
        </is>
      </c>
      <c r="E21" s="74" t="inlineStr">
        <is>
          <t>Incoming inspection</t>
        </is>
      </c>
      <c r="F21" s="74" t="inlineStr">
        <is>
          <t>Colour-grouped sample</t>
        </is>
      </c>
      <c r="G21" s="73" t="inlineStr">
        <is>
          <t>White</t>
        </is>
      </c>
      <c r="H21" s="74" t="inlineStr">
        <is>
          <t>Small triangle</t>
        </is>
      </c>
      <c r="I21" s="74" t="inlineStr">
        <is>
          <t>Supplier A</t>
        </is>
      </c>
      <c r="J21" s="72" t="n">
        <v>5</v>
      </c>
      <c r="K21" s="73" t="n">
        <v>4</v>
      </c>
      <c r="L21" s="72">
        <f>J21-K21</f>
        <v/>
      </c>
      <c r="M21" s="75">
        <f>K21/J21</f>
        <v/>
      </c>
      <c r="N21" s="72">
        <f>K21</f>
        <v/>
      </c>
      <c r="O21" s="72">
        <f>IF(K21=0,"Accept",IF(K21&gt;=3,"Reject batch","Rework"))</f>
        <v/>
      </c>
      <c r="P21" s="72" t="n"/>
      <c r="Q21" s="72" t="n"/>
      <c r="R21" s="72" t="n"/>
      <c r="S21" s="74" t="inlineStr">
        <is>
          <t>See colour-level note</t>
        </is>
      </c>
      <c r="T21" s="76" t="n">
        <v>1</v>
      </c>
      <c r="U21" s="76" t="inlineStr">
        <is>
          <t>Supplier-related defect concentration</t>
        </is>
      </c>
      <c r="V21" s="74" t="inlineStr">
        <is>
          <t>White block shows elevated defect rate; possible supplier/bin issue</t>
        </is>
      </c>
      <c r="W21" s="74" t="inlineStr">
        <is>
          <t>High-defect colour batch</t>
        </is>
      </c>
      <c r="X21" s="72" t="inlineStr">
        <is>
          <t>SPC + Pareto</t>
        </is>
      </c>
      <c r="Y21" t="inlineStr">
        <is>
          <t>process 1.pdf (cleaned from notes; structured using Data.xlsx/C.xlsx guidance)</t>
        </is>
      </c>
      <c r="Z21" t="inlineStr">
        <is>
          <t>Reconstructed classification</t>
        </is>
      </c>
    </row>
    <row r="22" ht="15" customHeight="1" s="56">
      <c r="A22" s="72" t="n">
        <v>16</v>
      </c>
      <c r="B22" s="73" t="inlineStr">
        <is>
          <t>Cleaned from notes</t>
        </is>
      </c>
      <c r="C22" s="72" t="inlineStr">
        <is>
          <t>Phase 1</t>
        </is>
      </c>
      <c r="D22" s="74" t="inlineStr">
        <is>
          <t>Middle</t>
        </is>
      </c>
      <c r="E22" s="74" t="inlineStr">
        <is>
          <t>Incoming inspection</t>
        </is>
      </c>
      <c r="F22" s="74" t="inlineStr">
        <is>
          <t>Colour-grouped sample</t>
        </is>
      </c>
      <c r="G22" s="73" t="inlineStr">
        <is>
          <t>White</t>
        </is>
      </c>
      <c r="H22" s="74" t="inlineStr">
        <is>
          <t>Small triangle</t>
        </is>
      </c>
      <c r="I22" s="74" t="inlineStr">
        <is>
          <t>Supplier A</t>
        </is>
      </c>
      <c r="J22" s="72" t="n">
        <v>5</v>
      </c>
      <c r="K22" s="73" t="n">
        <v>3</v>
      </c>
      <c r="L22" s="72">
        <f>J22-K22</f>
        <v/>
      </c>
      <c r="M22" s="75">
        <f>K22/J22</f>
        <v/>
      </c>
      <c r="N22" s="72">
        <f>K22</f>
        <v/>
      </c>
      <c r="O22" s="72">
        <f>IF(K22=0,"Accept",IF(K22&gt;=3,"Reject batch","Rework"))</f>
        <v/>
      </c>
      <c r="P22" s="72" t="n"/>
      <c r="Q22" s="72" t="n"/>
      <c r="R22" s="72" t="n"/>
      <c r="S22" s="74" t="inlineStr">
        <is>
          <t>See colour-level note</t>
        </is>
      </c>
      <c r="T22" s="72" t="n">
        <v>0</v>
      </c>
      <c r="U22" s="74" t="inlineStr">
        <is>
          <t>None</t>
        </is>
      </c>
      <c r="V22" s="74" t="inlineStr">
        <is>
          <t>Within expected colour variation</t>
        </is>
      </c>
      <c r="W22" s="74" t="inlineStr">
        <is>
          <t>Routine</t>
        </is>
      </c>
      <c r="X22" s="72" t="inlineStr">
        <is>
          <t>SPC + Pareto</t>
        </is>
      </c>
      <c r="Y22" t="inlineStr">
        <is>
          <t>process 1.pdf (cleaned from notes; structured using Data.xlsx/C.xlsx guidance)</t>
        </is>
      </c>
      <c r="Z22" t="inlineStr">
        <is>
          <t>Reconstructed classification</t>
        </is>
      </c>
    </row>
    <row r="23" ht="15" customHeight="1" s="56">
      <c r="A23" s="72" t="n">
        <v>17</v>
      </c>
      <c r="B23" s="73" t="inlineStr">
        <is>
          <t>Cleaned from notes</t>
        </is>
      </c>
      <c r="C23" s="72" t="inlineStr">
        <is>
          <t>Phase 1</t>
        </is>
      </c>
      <c r="D23" s="74" t="inlineStr">
        <is>
          <t>Middle</t>
        </is>
      </c>
      <c r="E23" s="74" t="inlineStr">
        <is>
          <t>Incoming inspection</t>
        </is>
      </c>
      <c r="F23" s="74" t="inlineStr">
        <is>
          <t>Colour-grouped sample</t>
        </is>
      </c>
      <c r="G23" s="73" t="inlineStr">
        <is>
          <t>White</t>
        </is>
      </c>
      <c r="H23" s="74" t="inlineStr">
        <is>
          <t>Small triangle</t>
        </is>
      </c>
      <c r="I23" s="74" t="inlineStr">
        <is>
          <t>Supplier A</t>
        </is>
      </c>
      <c r="J23" s="72" t="n">
        <v>5</v>
      </c>
      <c r="K23" s="73" t="n">
        <v>3</v>
      </c>
      <c r="L23" s="72">
        <f>J23-K23</f>
        <v/>
      </c>
      <c r="M23" s="75">
        <f>K23/J23</f>
        <v/>
      </c>
      <c r="N23" s="72">
        <f>K23</f>
        <v/>
      </c>
      <c r="O23" s="72">
        <f>IF(K23=0,"Accept",IF(K23&gt;=3,"Reject batch","Rework"))</f>
        <v/>
      </c>
      <c r="P23" s="72" t="n"/>
      <c r="Q23" s="72" t="n"/>
      <c r="R23" s="72" t="n"/>
      <c r="S23" s="74" t="inlineStr">
        <is>
          <t>See colour-level note</t>
        </is>
      </c>
      <c r="T23" s="72" t="n">
        <v>0</v>
      </c>
      <c r="U23" s="74" t="inlineStr">
        <is>
          <t>None</t>
        </is>
      </c>
      <c r="V23" s="74" t="inlineStr">
        <is>
          <t>Within expected colour variation</t>
        </is>
      </c>
      <c r="W23" s="74" t="inlineStr">
        <is>
          <t>Routine</t>
        </is>
      </c>
      <c r="X23" s="72" t="inlineStr">
        <is>
          <t>SPC + Pareto</t>
        </is>
      </c>
      <c r="Y23" t="inlineStr">
        <is>
          <t>process 1.pdf (cleaned from notes; structured using Data.xlsx/C.xlsx guidance)</t>
        </is>
      </c>
      <c r="Z23" t="inlineStr">
        <is>
          <t>Reconstructed classification</t>
        </is>
      </c>
    </row>
    <row r="24" ht="15" customHeight="1" s="56">
      <c r="A24" s="72" t="n">
        <v>18</v>
      </c>
      <c r="B24" s="73" t="inlineStr">
        <is>
          <t>Cleaned from notes</t>
        </is>
      </c>
      <c r="C24" s="72" t="inlineStr">
        <is>
          <t>Phase 1</t>
        </is>
      </c>
      <c r="D24" s="74" t="inlineStr">
        <is>
          <t>Middle</t>
        </is>
      </c>
      <c r="E24" s="74" t="inlineStr">
        <is>
          <t>Incoming inspection</t>
        </is>
      </c>
      <c r="F24" s="74" t="inlineStr">
        <is>
          <t>Colour-grouped sample</t>
        </is>
      </c>
      <c r="G24" s="73" t="inlineStr">
        <is>
          <t>White</t>
        </is>
      </c>
      <c r="H24" s="74" t="inlineStr">
        <is>
          <t>Small triangle</t>
        </is>
      </c>
      <c r="I24" s="74" t="inlineStr">
        <is>
          <t>Supplier A</t>
        </is>
      </c>
      <c r="J24" s="72" t="n">
        <v>5</v>
      </c>
      <c r="K24" s="73" t="n">
        <v>3</v>
      </c>
      <c r="L24" s="72">
        <f>J24-K24</f>
        <v/>
      </c>
      <c r="M24" s="75">
        <f>K24/J24</f>
        <v/>
      </c>
      <c r="N24" s="72">
        <f>K24</f>
        <v/>
      </c>
      <c r="O24" s="72">
        <f>IF(K24=0,"Accept",IF(K24&gt;=3,"Reject batch","Rework"))</f>
        <v/>
      </c>
      <c r="P24" s="72" t="n"/>
      <c r="Q24" s="72" t="n"/>
      <c r="R24" s="72" t="n"/>
      <c r="S24" s="74" t="inlineStr">
        <is>
          <t>See colour-level note</t>
        </is>
      </c>
      <c r="T24" s="72" t="n">
        <v>0</v>
      </c>
      <c r="U24" s="74" t="inlineStr">
        <is>
          <t>None</t>
        </is>
      </c>
      <c r="V24" s="74" t="inlineStr">
        <is>
          <t>Within expected colour variation</t>
        </is>
      </c>
      <c r="W24" s="74" t="inlineStr">
        <is>
          <t>Routine</t>
        </is>
      </c>
      <c r="X24" s="72" t="inlineStr">
        <is>
          <t>SPC + Pareto</t>
        </is>
      </c>
      <c r="Y24" t="inlineStr">
        <is>
          <t>process 1.pdf (cleaned from notes; structured using Data.xlsx/C.xlsx guidance)</t>
        </is>
      </c>
      <c r="Z24" t="inlineStr">
        <is>
          <t>Reconstructed classification</t>
        </is>
      </c>
    </row>
    <row r="25" ht="15" customHeight="1" s="56">
      <c r="A25" s="72" t="n">
        <v>19</v>
      </c>
      <c r="B25" s="73" t="inlineStr">
        <is>
          <t>Cleaned from notes</t>
        </is>
      </c>
      <c r="C25" s="72" t="inlineStr">
        <is>
          <t>Phase 1</t>
        </is>
      </c>
      <c r="D25" s="74" t="inlineStr">
        <is>
          <t>Middle</t>
        </is>
      </c>
      <c r="E25" s="74" t="inlineStr">
        <is>
          <t>Incoming inspection</t>
        </is>
      </c>
      <c r="F25" s="74" t="inlineStr">
        <is>
          <t>Colour-grouped sample</t>
        </is>
      </c>
      <c r="G25" s="73" t="inlineStr">
        <is>
          <t>Light Blue</t>
        </is>
      </c>
      <c r="H25" s="74" t="inlineStr">
        <is>
          <t>Small triangle</t>
        </is>
      </c>
      <c r="I25" s="74" t="inlineStr">
        <is>
          <t>Supplier C</t>
        </is>
      </c>
      <c r="J25" s="72" t="n">
        <v>5</v>
      </c>
      <c r="K25" s="73" t="n">
        <v>0</v>
      </c>
      <c r="L25" s="72">
        <f>J25-K25</f>
        <v/>
      </c>
      <c r="M25" s="75">
        <f>K25/J25</f>
        <v/>
      </c>
      <c r="N25" s="72">
        <f>K25</f>
        <v/>
      </c>
      <c r="O25" s="72">
        <f>IF(K25=0,"Accept",IF(K25&gt;=3,"Reject batch","Rework"))</f>
        <v/>
      </c>
      <c r="P25" s="72" t="n"/>
      <c r="Q25" s="72" t="n"/>
      <c r="R25" s="72" t="n"/>
      <c r="S25" s="74" t="inlineStr">
        <is>
          <t>None</t>
        </is>
      </c>
      <c r="T25" s="72" t="n">
        <v>0</v>
      </c>
      <c r="U25" s="74" t="inlineStr">
        <is>
          <t>None</t>
        </is>
      </c>
      <c r="V25" s="74" t="inlineStr">
        <is>
          <t>Within expected colour variation</t>
        </is>
      </c>
      <c r="W25" s="74" t="inlineStr">
        <is>
          <t>Routine</t>
        </is>
      </c>
      <c r="X25" s="72" t="inlineStr">
        <is>
          <t>SPC + Pareto</t>
        </is>
      </c>
      <c r="Y25" t="inlineStr">
        <is>
          <t>process 1.pdf (cleaned from notes; structured using Data.xlsx/C.xlsx guidance)</t>
        </is>
      </c>
      <c r="Z25" t="inlineStr">
        <is>
          <t>Reconstructed classification</t>
        </is>
      </c>
    </row>
    <row r="26" ht="15" customHeight="1" s="56">
      <c r="A26" s="72" t="n">
        <v>20</v>
      </c>
      <c r="B26" s="73" t="inlineStr">
        <is>
          <t>Cleaned from notes</t>
        </is>
      </c>
      <c r="C26" s="72" t="inlineStr">
        <is>
          <t>Phase 1</t>
        </is>
      </c>
      <c r="D26" s="74" t="inlineStr">
        <is>
          <t>Middle</t>
        </is>
      </c>
      <c r="E26" s="74" t="inlineStr">
        <is>
          <t>Incoming inspection</t>
        </is>
      </c>
      <c r="F26" s="74" t="inlineStr">
        <is>
          <t>Colour-grouped sample</t>
        </is>
      </c>
      <c r="G26" s="73" t="inlineStr">
        <is>
          <t>Light Blue</t>
        </is>
      </c>
      <c r="H26" s="74" t="inlineStr">
        <is>
          <t>Small triangle</t>
        </is>
      </c>
      <c r="I26" s="74" t="inlineStr">
        <is>
          <t>Supplier C</t>
        </is>
      </c>
      <c r="J26" s="72" t="n">
        <v>5</v>
      </c>
      <c r="K26" s="73" t="n">
        <v>0</v>
      </c>
      <c r="L26" s="72">
        <f>J26-K26</f>
        <v/>
      </c>
      <c r="M26" s="75">
        <f>K26/J26</f>
        <v/>
      </c>
      <c r="N26" s="72">
        <f>K26</f>
        <v/>
      </c>
      <c r="O26" s="72">
        <f>IF(K26=0,"Accept",IF(K26&gt;=3,"Reject batch","Rework"))</f>
        <v/>
      </c>
      <c r="P26" s="72" t="n"/>
      <c r="Q26" s="72" t="n"/>
      <c r="R26" s="72" t="n"/>
      <c r="S26" s="74" t="inlineStr">
        <is>
          <t>None</t>
        </is>
      </c>
      <c r="T26" s="72" t="n">
        <v>0</v>
      </c>
      <c r="U26" s="74" t="inlineStr">
        <is>
          <t>None</t>
        </is>
      </c>
      <c r="V26" s="74" t="inlineStr">
        <is>
          <t>Within expected colour variation</t>
        </is>
      </c>
      <c r="W26" s="74" t="inlineStr">
        <is>
          <t>Routine</t>
        </is>
      </c>
      <c r="X26" s="72" t="inlineStr">
        <is>
          <t>SPC + Pareto</t>
        </is>
      </c>
      <c r="Y26" t="inlineStr">
        <is>
          <t>process 1.pdf (cleaned from notes; structured using Data.xlsx/C.xlsx guidance)</t>
        </is>
      </c>
      <c r="Z26" t="inlineStr">
        <is>
          <t>Reconstructed classification</t>
        </is>
      </c>
    </row>
    <row r="27" ht="15" customHeight="1" s="56">
      <c r="A27" s="72" t="n">
        <v>21</v>
      </c>
      <c r="B27" s="73" t="inlineStr">
        <is>
          <t>Cleaned from notes</t>
        </is>
      </c>
      <c r="C27" s="72" t="inlineStr">
        <is>
          <t>Phase 1</t>
        </is>
      </c>
      <c r="D27" s="74" t="inlineStr">
        <is>
          <t>Middle</t>
        </is>
      </c>
      <c r="E27" s="74" t="inlineStr">
        <is>
          <t>Incoming inspection</t>
        </is>
      </c>
      <c r="F27" s="74" t="inlineStr">
        <is>
          <t>Colour-grouped sample</t>
        </is>
      </c>
      <c r="G27" s="73" t="inlineStr">
        <is>
          <t>Light Blue</t>
        </is>
      </c>
      <c r="H27" s="74" t="inlineStr">
        <is>
          <t>Small triangle</t>
        </is>
      </c>
      <c r="I27" s="74" t="inlineStr">
        <is>
          <t>Supplier C</t>
        </is>
      </c>
      <c r="J27" s="72" t="n">
        <v>5</v>
      </c>
      <c r="K27" s="73" t="n">
        <v>0</v>
      </c>
      <c r="L27" s="72">
        <f>J27-K27</f>
        <v/>
      </c>
      <c r="M27" s="75">
        <f>K27/J27</f>
        <v/>
      </c>
      <c r="N27" s="72">
        <f>K27</f>
        <v/>
      </c>
      <c r="O27" s="72">
        <f>IF(K27=0,"Accept",IF(K27&gt;=3,"Reject batch","Rework"))</f>
        <v/>
      </c>
      <c r="P27" s="72" t="n"/>
      <c r="Q27" s="72" t="n"/>
      <c r="R27" s="72" t="n"/>
      <c r="S27" s="74" t="inlineStr">
        <is>
          <t>None</t>
        </is>
      </c>
      <c r="T27" s="72" t="n">
        <v>0</v>
      </c>
      <c r="U27" s="74" t="inlineStr">
        <is>
          <t>None</t>
        </is>
      </c>
      <c r="V27" s="74" t="inlineStr">
        <is>
          <t>Within expected colour variation</t>
        </is>
      </c>
      <c r="W27" s="74" t="inlineStr">
        <is>
          <t>Routine</t>
        </is>
      </c>
      <c r="X27" s="72" t="inlineStr">
        <is>
          <t>SPC + Pareto</t>
        </is>
      </c>
      <c r="Y27" t="inlineStr">
        <is>
          <t>process 1.pdf (cleaned from notes; structured using Data.xlsx/C.xlsx guidance)</t>
        </is>
      </c>
      <c r="Z27" t="inlineStr">
        <is>
          <t>Reconstructed classification</t>
        </is>
      </c>
    </row>
    <row r="28" ht="15" customHeight="1" s="56">
      <c r="A28" s="72" t="n">
        <v>22</v>
      </c>
      <c r="B28" s="73" t="inlineStr">
        <is>
          <t>Cleaned from notes</t>
        </is>
      </c>
      <c r="C28" s="72" t="inlineStr">
        <is>
          <t>Phase 1</t>
        </is>
      </c>
      <c r="D28" s="74" t="inlineStr">
        <is>
          <t>Middle</t>
        </is>
      </c>
      <c r="E28" s="74" t="inlineStr">
        <is>
          <t>Incoming inspection</t>
        </is>
      </c>
      <c r="F28" s="74" t="inlineStr">
        <is>
          <t>Colour-grouped sample</t>
        </is>
      </c>
      <c r="G28" s="73" t="inlineStr">
        <is>
          <t>Light Blue</t>
        </is>
      </c>
      <c r="H28" s="74" t="inlineStr">
        <is>
          <t>Small triangle</t>
        </is>
      </c>
      <c r="I28" s="74" t="inlineStr">
        <is>
          <t>Supplier C</t>
        </is>
      </c>
      <c r="J28" s="72" t="n">
        <v>5</v>
      </c>
      <c r="K28" s="73" t="n">
        <v>0</v>
      </c>
      <c r="L28" s="72">
        <f>J28-K28</f>
        <v/>
      </c>
      <c r="M28" s="75">
        <f>K28/J28</f>
        <v/>
      </c>
      <c r="N28" s="72">
        <f>K28</f>
        <v/>
      </c>
      <c r="O28" s="72">
        <f>IF(K28=0,"Accept",IF(K28&gt;=3,"Reject batch","Rework"))</f>
        <v/>
      </c>
      <c r="P28" s="72" t="n"/>
      <c r="Q28" s="72" t="n"/>
      <c r="R28" s="72" t="n"/>
      <c r="S28" s="74" t="inlineStr">
        <is>
          <t>None</t>
        </is>
      </c>
      <c r="T28" s="72" t="n">
        <v>0</v>
      </c>
      <c r="U28" s="74" t="inlineStr">
        <is>
          <t>None</t>
        </is>
      </c>
      <c r="V28" s="74" t="inlineStr">
        <is>
          <t>Within expected colour variation</t>
        </is>
      </c>
      <c r="W28" s="74" t="inlineStr">
        <is>
          <t>Routine</t>
        </is>
      </c>
      <c r="X28" s="72" t="inlineStr">
        <is>
          <t>SPC + Pareto</t>
        </is>
      </c>
      <c r="Y28" t="inlineStr">
        <is>
          <t>process 1.pdf (cleaned from notes; structured using Data.xlsx/C.xlsx guidance)</t>
        </is>
      </c>
      <c r="Z28" t="inlineStr">
        <is>
          <t>Reconstructed classification</t>
        </is>
      </c>
    </row>
    <row r="29" ht="15" customHeight="1" s="56">
      <c r="A29" s="72" t="n">
        <v>23</v>
      </c>
      <c r="B29" s="73" t="inlineStr">
        <is>
          <t>Cleaned from notes</t>
        </is>
      </c>
      <c r="C29" s="72" t="inlineStr">
        <is>
          <t>Phase 1</t>
        </is>
      </c>
      <c r="D29" s="74" t="inlineStr">
        <is>
          <t>Middle</t>
        </is>
      </c>
      <c r="E29" s="74" t="inlineStr">
        <is>
          <t>Incoming inspection</t>
        </is>
      </c>
      <c r="F29" s="74" t="inlineStr">
        <is>
          <t>Colour-grouped sample</t>
        </is>
      </c>
      <c r="G29" s="73" t="inlineStr">
        <is>
          <t>Light Blue</t>
        </is>
      </c>
      <c r="H29" s="74" t="inlineStr">
        <is>
          <t>Small triangle</t>
        </is>
      </c>
      <c r="I29" s="74" t="inlineStr">
        <is>
          <t>Supplier C</t>
        </is>
      </c>
      <c r="J29" s="72" t="n">
        <v>5</v>
      </c>
      <c r="K29" s="73" t="n">
        <v>0</v>
      </c>
      <c r="L29" s="72">
        <f>J29-K29</f>
        <v/>
      </c>
      <c r="M29" s="75">
        <f>K29/J29</f>
        <v/>
      </c>
      <c r="N29" s="72">
        <f>K29</f>
        <v/>
      </c>
      <c r="O29" s="72">
        <f>IF(K29=0,"Accept",IF(K29&gt;=3,"Reject batch","Rework"))</f>
        <v/>
      </c>
      <c r="P29" s="72" t="n"/>
      <c r="Q29" s="72" t="n"/>
      <c r="R29" s="72" t="n"/>
      <c r="S29" s="74" t="inlineStr">
        <is>
          <t>None</t>
        </is>
      </c>
      <c r="T29" s="72" t="n">
        <v>0</v>
      </c>
      <c r="U29" s="74" t="inlineStr">
        <is>
          <t>None</t>
        </is>
      </c>
      <c r="V29" s="74" t="inlineStr">
        <is>
          <t>Within expected colour variation</t>
        </is>
      </c>
      <c r="W29" s="74" t="inlineStr">
        <is>
          <t>Routine</t>
        </is>
      </c>
      <c r="X29" s="72" t="inlineStr">
        <is>
          <t>SPC + Pareto</t>
        </is>
      </c>
      <c r="Y29" t="inlineStr">
        <is>
          <t>process 1.pdf (cleaned from notes; structured using Data.xlsx/C.xlsx guidance)</t>
        </is>
      </c>
      <c r="Z29" t="inlineStr">
        <is>
          <t>Reconstructed classification</t>
        </is>
      </c>
    </row>
    <row r="30" ht="15" customHeight="1" s="56">
      <c r="A30" s="72" t="n">
        <v>24</v>
      </c>
      <c r="B30" s="73" t="inlineStr">
        <is>
          <t>Cleaned from notes</t>
        </is>
      </c>
      <c r="C30" s="72" t="inlineStr">
        <is>
          <t>Phase 1</t>
        </is>
      </c>
      <c r="D30" s="74" t="inlineStr">
        <is>
          <t>Middle</t>
        </is>
      </c>
      <c r="E30" s="74" t="inlineStr">
        <is>
          <t>Incoming inspection</t>
        </is>
      </c>
      <c r="F30" s="74" t="inlineStr">
        <is>
          <t>Colour-grouped sample</t>
        </is>
      </c>
      <c r="G30" s="73" t="inlineStr">
        <is>
          <t>Light Blue</t>
        </is>
      </c>
      <c r="H30" s="74" t="inlineStr">
        <is>
          <t>Small triangle</t>
        </is>
      </c>
      <c r="I30" s="74" t="inlineStr">
        <is>
          <t>Supplier C</t>
        </is>
      </c>
      <c r="J30" s="72" t="n">
        <v>5</v>
      </c>
      <c r="K30" s="73" t="n">
        <v>0</v>
      </c>
      <c r="L30" s="72">
        <f>J30-K30</f>
        <v/>
      </c>
      <c r="M30" s="75">
        <f>K30/J30</f>
        <v/>
      </c>
      <c r="N30" s="72">
        <f>K30</f>
        <v/>
      </c>
      <c r="O30" s="72">
        <f>IF(K30=0,"Accept",IF(K30&gt;=3,"Reject batch","Rework"))</f>
        <v/>
      </c>
      <c r="P30" s="72" t="n"/>
      <c r="Q30" s="72" t="n"/>
      <c r="R30" s="72" t="n"/>
      <c r="S30" s="74" t="inlineStr">
        <is>
          <t>None</t>
        </is>
      </c>
      <c r="T30" s="72" t="n">
        <v>0</v>
      </c>
      <c r="U30" s="74" t="inlineStr">
        <is>
          <t>None</t>
        </is>
      </c>
      <c r="V30" s="74" t="inlineStr">
        <is>
          <t>Within expected colour variation</t>
        </is>
      </c>
      <c r="W30" s="74" t="inlineStr">
        <is>
          <t>Routine</t>
        </is>
      </c>
      <c r="X30" s="72" t="inlineStr">
        <is>
          <t>SPC + Pareto</t>
        </is>
      </c>
      <c r="Y30" t="inlineStr">
        <is>
          <t>process 1.pdf (cleaned from notes; structured using Data.xlsx/C.xlsx guidance)</t>
        </is>
      </c>
      <c r="Z30" t="inlineStr">
        <is>
          <t>Reconstructed classification</t>
        </is>
      </c>
    </row>
    <row r="31" ht="15" customHeight="1" s="56">
      <c r="A31" s="72" t="n">
        <v>25</v>
      </c>
      <c r="B31" s="73" t="inlineStr">
        <is>
          <t>Cleaned from notes</t>
        </is>
      </c>
      <c r="C31" s="72" t="inlineStr">
        <is>
          <t>Phase 1</t>
        </is>
      </c>
      <c r="D31" s="74" t="inlineStr">
        <is>
          <t>Middle</t>
        </is>
      </c>
      <c r="E31" s="74" t="inlineStr">
        <is>
          <t>Incoming inspection</t>
        </is>
      </c>
      <c r="F31" s="74" t="inlineStr">
        <is>
          <t>Colour-grouped sample</t>
        </is>
      </c>
      <c r="G31" s="73" t="inlineStr">
        <is>
          <t>Dark Blue</t>
        </is>
      </c>
      <c r="H31" s="74" t="inlineStr">
        <is>
          <t>Parallelogram</t>
        </is>
      </c>
      <c r="I31" s="74" t="inlineStr">
        <is>
          <t>Supplier B</t>
        </is>
      </c>
      <c r="J31" s="72" t="n">
        <v>5</v>
      </c>
      <c r="K31" s="73" t="n">
        <v>3</v>
      </c>
      <c r="L31" s="72">
        <f>J31-K31</f>
        <v/>
      </c>
      <c r="M31" s="75">
        <f>K31/J31</f>
        <v/>
      </c>
      <c r="N31" s="72">
        <f>K31</f>
        <v/>
      </c>
      <c r="O31" s="72">
        <f>IF(K31=0,"Accept",IF(K31&gt;=3,"Reject batch","Rework"))</f>
        <v/>
      </c>
      <c r="P31" s="72" t="n"/>
      <c r="Q31" s="72" t="n"/>
      <c r="R31" s="72" t="n"/>
      <c r="S31" s="74" t="inlineStr">
        <is>
          <t>See colour-level note</t>
        </is>
      </c>
      <c r="T31" s="72" t="n">
        <v>0</v>
      </c>
      <c r="U31" s="74" t="inlineStr">
        <is>
          <t>None</t>
        </is>
      </c>
      <c r="V31" s="74" t="inlineStr">
        <is>
          <t>Within expected colour variation</t>
        </is>
      </c>
      <c r="W31" s="74" t="inlineStr">
        <is>
          <t>Routine</t>
        </is>
      </c>
      <c r="X31" s="72" t="inlineStr">
        <is>
          <t>SPC + Pareto</t>
        </is>
      </c>
      <c r="Y31" t="inlineStr">
        <is>
          <t>process 1.pdf (cleaned from notes; structured using Data.xlsx/C.xlsx guidance)</t>
        </is>
      </c>
      <c r="Z31" t="inlineStr">
        <is>
          <t>Reconstructed classification</t>
        </is>
      </c>
    </row>
    <row r="32" ht="15" customHeight="1" s="56">
      <c r="A32" s="72" t="n">
        <v>26</v>
      </c>
      <c r="B32" s="73" t="inlineStr">
        <is>
          <t>Cleaned from notes</t>
        </is>
      </c>
      <c r="C32" s="72" t="inlineStr">
        <is>
          <t>Phase 1</t>
        </is>
      </c>
      <c r="D32" s="74" t="inlineStr">
        <is>
          <t>Middle</t>
        </is>
      </c>
      <c r="E32" s="74" t="inlineStr">
        <is>
          <t>Incoming inspection</t>
        </is>
      </c>
      <c r="F32" s="74" t="inlineStr">
        <is>
          <t>Colour-grouped sample</t>
        </is>
      </c>
      <c r="G32" s="73" t="inlineStr">
        <is>
          <t>Dark Blue</t>
        </is>
      </c>
      <c r="H32" s="74" t="inlineStr">
        <is>
          <t>Parallelogram</t>
        </is>
      </c>
      <c r="I32" s="74" t="inlineStr">
        <is>
          <t>Supplier B</t>
        </is>
      </c>
      <c r="J32" s="72" t="n">
        <v>5</v>
      </c>
      <c r="K32" s="73" t="n">
        <v>2</v>
      </c>
      <c r="L32" s="72">
        <f>J32-K32</f>
        <v/>
      </c>
      <c r="M32" s="75">
        <f>K32/J32</f>
        <v/>
      </c>
      <c r="N32" s="72">
        <f>K32</f>
        <v/>
      </c>
      <c r="O32" s="72">
        <f>IF(K32=0,"Accept",IF(K32&gt;=3,"Reject batch","Rework"))</f>
        <v/>
      </c>
      <c r="P32" s="72" t="n"/>
      <c r="Q32" s="72" t="n"/>
      <c r="R32" s="72" t="n"/>
      <c r="S32" s="74" t="inlineStr">
        <is>
          <t>See colour-level note</t>
        </is>
      </c>
      <c r="T32" s="72" t="n">
        <v>0</v>
      </c>
      <c r="U32" s="74" t="inlineStr">
        <is>
          <t>None</t>
        </is>
      </c>
      <c r="V32" s="74" t="inlineStr">
        <is>
          <t>Within expected colour variation</t>
        </is>
      </c>
      <c r="W32" s="74" t="inlineStr">
        <is>
          <t>Routine</t>
        </is>
      </c>
      <c r="X32" s="72" t="inlineStr">
        <is>
          <t>SPC + Pareto</t>
        </is>
      </c>
      <c r="Y32" t="inlineStr">
        <is>
          <t>process 1.pdf (cleaned from notes; structured using Data.xlsx/C.xlsx guidance)</t>
        </is>
      </c>
      <c r="Z32" t="inlineStr">
        <is>
          <t>Reconstructed classification</t>
        </is>
      </c>
    </row>
    <row r="33" ht="15" customHeight="1" s="56">
      <c r="A33" s="72" t="n">
        <v>27</v>
      </c>
      <c r="B33" s="73" t="inlineStr">
        <is>
          <t>Cleaned from notes</t>
        </is>
      </c>
      <c r="C33" s="72" t="inlineStr">
        <is>
          <t>Phase 1</t>
        </is>
      </c>
      <c r="D33" s="74" t="inlineStr">
        <is>
          <t>Middle</t>
        </is>
      </c>
      <c r="E33" s="74" t="inlineStr">
        <is>
          <t>Incoming inspection</t>
        </is>
      </c>
      <c r="F33" s="74" t="inlineStr">
        <is>
          <t>Colour-grouped sample</t>
        </is>
      </c>
      <c r="G33" s="73" t="inlineStr">
        <is>
          <t>Dark Blue</t>
        </is>
      </c>
      <c r="H33" s="74" t="inlineStr">
        <is>
          <t>Parallelogram</t>
        </is>
      </c>
      <c r="I33" s="74" t="inlineStr">
        <is>
          <t>Supplier B</t>
        </is>
      </c>
      <c r="J33" s="72" t="n">
        <v>5</v>
      </c>
      <c r="K33" s="73" t="n">
        <v>2</v>
      </c>
      <c r="L33" s="72">
        <f>J33-K33</f>
        <v/>
      </c>
      <c r="M33" s="75">
        <f>K33/J33</f>
        <v/>
      </c>
      <c r="N33" s="72">
        <f>K33</f>
        <v/>
      </c>
      <c r="O33" s="72">
        <f>IF(K33=0,"Accept",IF(K33&gt;=3,"Reject batch","Rework"))</f>
        <v/>
      </c>
      <c r="P33" s="72" t="n"/>
      <c r="Q33" s="72" t="n"/>
      <c r="R33" s="72" t="n"/>
      <c r="S33" s="74" t="inlineStr">
        <is>
          <t>See colour-level note</t>
        </is>
      </c>
      <c r="T33" s="72" t="n">
        <v>0</v>
      </c>
      <c r="U33" s="74" t="inlineStr">
        <is>
          <t>None</t>
        </is>
      </c>
      <c r="V33" s="74" t="inlineStr">
        <is>
          <t>Within expected colour variation</t>
        </is>
      </c>
      <c r="W33" s="74" t="inlineStr">
        <is>
          <t>Routine</t>
        </is>
      </c>
      <c r="X33" s="72" t="inlineStr">
        <is>
          <t>SPC + Pareto</t>
        </is>
      </c>
      <c r="Y33" t="inlineStr">
        <is>
          <t>process 1.pdf (cleaned from notes; structured using Data.xlsx/C.xlsx guidance)</t>
        </is>
      </c>
      <c r="Z33" t="inlineStr">
        <is>
          <t>Reconstructed classification</t>
        </is>
      </c>
    </row>
    <row r="34" ht="15" customHeight="1" s="56">
      <c r="A34" s="72" t="n">
        <v>28</v>
      </c>
      <c r="B34" s="73" t="inlineStr">
        <is>
          <t>Cleaned from notes</t>
        </is>
      </c>
      <c r="C34" s="72" t="inlineStr">
        <is>
          <t>Phase 1</t>
        </is>
      </c>
      <c r="D34" s="74" t="inlineStr">
        <is>
          <t>Middle</t>
        </is>
      </c>
      <c r="E34" s="74" t="inlineStr">
        <is>
          <t>Incoming inspection</t>
        </is>
      </c>
      <c r="F34" s="74" t="inlineStr">
        <is>
          <t>Colour-grouped sample</t>
        </is>
      </c>
      <c r="G34" s="73" t="inlineStr">
        <is>
          <t>Dark Blue</t>
        </is>
      </c>
      <c r="H34" s="74" t="inlineStr">
        <is>
          <t>Parallelogram</t>
        </is>
      </c>
      <c r="I34" s="74" t="inlineStr">
        <is>
          <t>Supplier B</t>
        </is>
      </c>
      <c r="J34" s="72" t="n">
        <v>5</v>
      </c>
      <c r="K34" s="73" t="n">
        <v>3</v>
      </c>
      <c r="L34" s="72">
        <f>J34-K34</f>
        <v/>
      </c>
      <c r="M34" s="75">
        <f>K34/J34</f>
        <v/>
      </c>
      <c r="N34" s="72">
        <f>K34</f>
        <v/>
      </c>
      <c r="O34" s="72">
        <f>IF(K34=0,"Accept",IF(K34&gt;=3,"Reject batch","Rework"))</f>
        <v/>
      </c>
      <c r="P34" s="72" t="n"/>
      <c r="Q34" s="72" t="n"/>
      <c r="R34" s="72" t="n"/>
      <c r="S34" s="74" t="inlineStr">
        <is>
          <t>See colour-level note</t>
        </is>
      </c>
      <c r="T34" s="72" t="n">
        <v>0</v>
      </c>
      <c r="U34" s="74" t="inlineStr">
        <is>
          <t>None</t>
        </is>
      </c>
      <c r="V34" s="74" t="inlineStr">
        <is>
          <t>Within expected colour variation</t>
        </is>
      </c>
      <c r="W34" s="74" t="inlineStr">
        <is>
          <t>Routine</t>
        </is>
      </c>
      <c r="X34" s="72" t="inlineStr">
        <is>
          <t>SPC + Pareto</t>
        </is>
      </c>
      <c r="Y34" t="inlineStr">
        <is>
          <t>process 1.pdf (cleaned from notes; structured using Data.xlsx/C.xlsx guidance)</t>
        </is>
      </c>
      <c r="Z34" t="inlineStr">
        <is>
          <t>Reconstructed classification</t>
        </is>
      </c>
    </row>
    <row r="35" ht="15" customHeight="1" s="56">
      <c r="A35" s="72" t="n">
        <v>29</v>
      </c>
      <c r="B35" s="73" t="inlineStr">
        <is>
          <t>Cleaned from notes</t>
        </is>
      </c>
      <c r="C35" s="72" t="inlineStr">
        <is>
          <t>Phase 1</t>
        </is>
      </c>
      <c r="D35" s="74" t="inlineStr">
        <is>
          <t>Late</t>
        </is>
      </c>
      <c r="E35" s="74" t="inlineStr">
        <is>
          <t>Incoming inspection</t>
        </is>
      </c>
      <c r="F35" s="74" t="inlineStr">
        <is>
          <t>Colour-grouped sample</t>
        </is>
      </c>
      <c r="G35" s="73" t="inlineStr">
        <is>
          <t>Dark Blue</t>
        </is>
      </c>
      <c r="H35" s="74" t="inlineStr">
        <is>
          <t>Parallelogram</t>
        </is>
      </c>
      <c r="I35" s="74" t="inlineStr">
        <is>
          <t>Supplier B</t>
        </is>
      </c>
      <c r="J35" s="72" t="n">
        <v>5</v>
      </c>
      <c r="K35" s="73" t="n">
        <v>3</v>
      </c>
      <c r="L35" s="72">
        <f>J35-K35</f>
        <v/>
      </c>
      <c r="M35" s="75">
        <f>K35/J35</f>
        <v/>
      </c>
      <c r="N35" s="72">
        <f>K35</f>
        <v/>
      </c>
      <c r="O35" s="72">
        <f>IF(K35=0,"Accept",IF(K35&gt;=3,"Reject batch","Rework"))</f>
        <v/>
      </c>
      <c r="P35" s="72" t="n"/>
      <c r="Q35" s="72" t="n"/>
      <c r="R35" s="72" t="n"/>
      <c r="S35" s="74" t="inlineStr">
        <is>
          <t>See colour-level note</t>
        </is>
      </c>
      <c r="T35" s="72" t="n">
        <v>0</v>
      </c>
      <c r="U35" s="74" t="inlineStr">
        <is>
          <t>None</t>
        </is>
      </c>
      <c r="V35" s="74" t="inlineStr">
        <is>
          <t>Within expected colour variation</t>
        </is>
      </c>
      <c r="W35" s="74" t="inlineStr">
        <is>
          <t>Routine</t>
        </is>
      </c>
      <c r="X35" s="72" t="inlineStr">
        <is>
          <t>SPC + Pareto</t>
        </is>
      </c>
      <c r="Y35" t="inlineStr">
        <is>
          <t>process 1.pdf (cleaned from notes; structured using Data.xlsx/C.xlsx guidance)</t>
        </is>
      </c>
      <c r="Z35" t="inlineStr">
        <is>
          <t>Reconstructed classification</t>
        </is>
      </c>
    </row>
    <row r="36" ht="15" customHeight="1" s="56">
      <c r="A36" s="72" t="n">
        <v>30</v>
      </c>
      <c r="B36" s="73" t="inlineStr">
        <is>
          <t>Cleaned from notes</t>
        </is>
      </c>
      <c r="C36" s="72" t="inlineStr">
        <is>
          <t>Phase 1</t>
        </is>
      </c>
      <c r="D36" s="74" t="inlineStr">
        <is>
          <t>Late</t>
        </is>
      </c>
      <c r="E36" s="74" t="inlineStr">
        <is>
          <t>Incoming inspection</t>
        </is>
      </c>
      <c r="F36" s="74" t="inlineStr">
        <is>
          <t>Colour-grouped sample</t>
        </is>
      </c>
      <c r="G36" s="73" t="inlineStr">
        <is>
          <t>Dark Blue</t>
        </is>
      </c>
      <c r="H36" s="74" t="inlineStr">
        <is>
          <t>Parallelogram</t>
        </is>
      </c>
      <c r="I36" s="74" t="inlineStr">
        <is>
          <t>Supplier B</t>
        </is>
      </c>
      <c r="J36" s="72" t="n">
        <v>5</v>
      </c>
      <c r="K36" s="73" t="n">
        <v>2</v>
      </c>
      <c r="L36" s="72">
        <f>J36-K36</f>
        <v/>
      </c>
      <c r="M36" s="75">
        <f>K36/J36</f>
        <v/>
      </c>
      <c r="N36" s="72">
        <f>K36</f>
        <v/>
      </c>
      <c r="O36" s="72">
        <f>IF(K36=0,"Accept",IF(K36&gt;=3,"Reject batch","Rework"))</f>
        <v/>
      </c>
      <c r="P36" s="72" t="n"/>
      <c r="Q36" s="72" t="n"/>
      <c r="R36" s="72" t="n"/>
      <c r="S36" s="74" t="inlineStr">
        <is>
          <t>See colour-level note</t>
        </is>
      </c>
      <c r="T36" s="72" t="n">
        <v>0</v>
      </c>
      <c r="U36" s="74" t="inlineStr">
        <is>
          <t>None</t>
        </is>
      </c>
      <c r="V36" s="74" t="inlineStr">
        <is>
          <t>Within expected colour variation</t>
        </is>
      </c>
      <c r="W36" s="74" t="inlineStr">
        <is>
          <t>Routine</t>
        </is>
      </c>
      <c r="X36" s="72" t="inlineStr">
        <is>
          <t>SPC + Pareto</t>
        </is>
      </c>
      <c r="Y36" t="inlineStr">
        <is>
          <t>process 1.pdf (cleaned from notes; structured using Data.xlsx/C.xlsx guidance)</t>
        </is>
      </c>
      <c r="Z36" t="inlineStr">
        <is>
          <t>Reconstructed classification</t>
        </is>
      </c>
    </row>
    <row r="37" ht="15" customHeight="1" s="56">
      <c r="A37" s="72" t="n">
        <v>31</v>
      </c>
      <c r="B37" s="73" t="inlineStr">
        <is>
          <t>Cleaned from notes</t>
        </is>
      </c>
      <c r="C37" s="72" t="inlineStr">
        <is>
          <t>Phase 1</t>
        </is>
      </c>
      <c r="D37" s="74" t="inlineStr">
        <is>
          <t>Late</t>
        </is>
      </c>
      <c r="E37" s="74" t="inlineStr">
        <is>
          <t>Incoming inspection</t>
        </is>
      </c>
      <c r="F37" s="74" t="inlineStr">
        <is>
          <t>Colour-grouped sample</t>
        </is>
      </c>
      <c r="G37" s="73" t="inlineStr">
        <is>
          <t>Green</t>
        </is>
      </c>
      <c r="H37" s="74" t="inlineStr">
        <is>
          <t>Medium triangle</t>
        </is>
      </c>
      <c r="I37" s="74" t="inlineStr">
        <is>
          <t>Supplier C</t>
        </is>
      </c>
      <c r="J37" s="72" t="n">
        <v>5</v>
      </c>
      <c r="K37" s="73" t="n">
        <v>0</v>
      </c>
      <c r="L37" s="72">
        <f>J37-K37</f>
        <v/>
      </c>
      <c r="M37" s="75">
        <f>K37/J37</f>
        <v/>
      </c>
      <c r="N37" s="72">
        <f>K37</f>
        <v/>
      </c>
      <c r="O37" s="72">
        <f>IF(K37=0,"Accept",IF(K37&gt;=3,"Reject batch","Rework"))</f>
        <v/>
      </c>
      <c r="P37" s="72" t="n"/>
      <c r="Q37" s="72" t="n"/>
      <c r="R37" s="72" t="n"/>
      <c r="S37" s="74" t="inlineStr">
        <is>
          <t>None</t>
        </is>
      </c>
      <c r="T37" s="72" t="n">
        <v>0</v>
      </c>
      <c r="U37" s="74" t="inlineStr">
        <is>
          <t>None</t>
        </is>
      </c>
      <c r="V37" s="74" t="inlineStr">
        <is>
          <t>Within expected colour variation</t>
        </is>
      </c>
      <c r="W37" s="74" t="inlineStr">
        <is>
          <t>Routine</t>
        </is>
      </c>
      <c r="X37" s="72" t="inlineStr">
        <is>
          <t>SPC + Pareto</t>
        </is>
      </c>
      <c r="Y37" t="inlineStr">
        <is>
          <t>process 1.pdf (cleaned from notes; structured using Data.xlsx/C.xlsx guidance)</t>
        </is>
      </c>
      <c r="Z37" t="inlineStr">
        <is>
          <t>Reconstructed classification</t>
        </is>
      </c>
    </row>
    <row r="38" ht="15" customHeight="1" s="56">
      <c r="A38" s="72" t="n">
        <v>32</v>
      </c>
      <c r="B38" s="73" t="inlineStr">
        <is>
          <t>Cleaned from notes</t>
        </is>
      </c>
      <c r="C38" s="72" t="inlineStr">
        <is>
          <t>Phase 1</t>
        </is>
      </c>
      <c r="D38" s="74" t="inlineStr">
        <is>
          <t>Late</t>
        </is>
      </c>
      <c r="E38" s="74" t="inlineStr">
        <is>
          <t>Incoming inspection</t>
        </is>
      </c>
      <c r="F38" s="74" t="inlineStr">
        <is>
          <t>Colour-grouped sample</t>
        </is>
      </c>
      <c r="G38" s="73" t="inlineStr">
        <is>
          <t>Green</t>
        </is>
      </c>
      <c r="H38" s="74" t="inlineStr">
        <is>
          <t>Medium triangle</t>
        </is>
      </c>
      <c r="I38" s="74" t="inlineStr">
        <is>
          <t>Supplier C</t>
        </is>
      </c>
      <c r="J38" s="72" t="n">
        <v>5</v>
      </c>
      <c r="K38" s="73" t="n">
        <v>0</v>
      </c>
      <c r="L38" s="72">
        <f>J38-K38</f>
        <v/>
      </c>
      <c r="M38" s="75">
        <f>K38/J38</f>
        <v/>
      </c>
      <c r="N38" s="72">
        <f>K38</f>
        <v/>
      </c>
      <c r="O38" s="72">
        <f>IF(K38=0,"Accept",IF(K38&gt;=3,"Reject batch","Rework"))</f>
        <v/>
      </c>
      <c r="P38" s="72" t="n"/>
      <c r="Q38" s="72" t="n"/>
      <c r="R38" s="72" t="n"/>
      <c r="S38" s="74" t="inlineStr">
        <is>
          <t>None</t>
        </is>
      </c>
      <c r="T38" s="72" t="n">
        <v>0</v>
      </c>
      <c r="U38" s="74" t="inlineStr">
        <is>
          <t>None</t>
        </is>
      </c>
      <c r="V38" s="74" t="inlineStr">
        <is>
          <t>Within expected colour variation</t>
        </is>
      </c>
      <c r="W38" s="74" t="inlineStr">
        <is>
          <t>Routine</t>
        </is>
      </c>
      <c r="X38" s="72" t="inlineStr">
        <is>
          <t>SPC + Pareto</t>
        </is>
      </c>
      <c r="Y38" t="inlineStr">
        <is>
          <t>process 1.pdf (cleaned from notes; structured using Data.xlsx/C.xlsx guidance)</t>
        </is>
      </c>
      <c r="Z38" t="inlineStr">
        <is>
          <t>Reconstructed classification</t>
        </is>
      </c>
    </row>
    <row r="39" ht="15" customHeight="1" s="56">
      <c r="A39" s="72" t="n">
        <v>33</v>
      </c>
      <c r="B39" s="73" t="inlineStr">
        <is>
          <t>Cleaned from notes</t>
        </is>
      </c>
      <c r="C39" s="72" t="inlineStr">
        <is>
          <t>Phase 1</t>
        </is>
      </c>
      <c r="D39" s="74" t="inlineStr">
        <is>
          <t>Late</t>
        </is>
      </c>
      <c r="E39" s="74" t="inlineStr">
        <is>
          <t>Incoming inspection</t>
        </is>
      </c>
      <c r="F39" s="74" t="inlineStr">
        <is>
          <t>Colour-grouped sample</t>
        </is>
      </c>
      <c r="G39" s="73" t="inlineStr">
        <is>
          <t>Green</t>
        </is>
      </c>
      <c r="H39" s="74" t="inlineStr">
        <is>
          <t>Medium triangle</t>
        </is>
      </c>
      <c r="I39" s="74" t="inlineStr">
        <is>
          <t>Supplier C</t>
        </is>
      </c>
      <c r="J39" s="72" t="n">
        <v>5</v>
      </c>
      <c r="K39" s="73" t="n">
        <v>0</v>
      </c>
      <c r="L39" s="72">
        <f>J39-K39</f>
        <v/>
      </c>
      <c r="M39" s="75">
        <f>K39/J39</f>
        <v/>
      </c>
      <c r="N39" s="72">
        <f>K39</f>
        <v/>
      </c>
      <c r="O39" s="72">
        <f>IF(K39=0,"Accept",IF(K39&gt;=3,"Reject batch","Rework"))</f>
        <v/>
      </c>
      <c r="P39" s="72" t="n"/>
      <c r="Q39" s="72" t="n"/>
      <c r="R39" s="72" t="n"/>
      <c r="S39" s="74" t="inlineStr">
        <is>
          <t>None</t>
        </is>
      </c>
      <c r="T39" s="72" t="n">
        <v>0</v>
      </c>
      <c r="U39" s="74" t="inlineStr">
        <is>
          <t>None</t>
        </is>
      </c>
      <c r="V39" s="74" t="inlineStr">
        <is>
          <t>Within expected colour variation</t>
        </is>
      </c>
      <c r="W39" s="74" t="inlineStr">
        <is>
          <t>Routine</t>
        </is>
      </c>
      <c r="X39" s="72" t="inlineStr">
        <is>
          <t>SPC + Pareto</t>
        </is>
      </c>
      <c r="Y39" t="inlineStr">
        <is>
          <t>process 1.pdf (cleaned from notes; structured using Data.xlsx/C.xlsx guidance)</t>
        </is>
      </c>
      <c r="Z39" t="inlineStr">
        <is>
          <t>Reconstructed classification</t>
        </is>
      </c>
    </row>
    <row r="40" ht="15" customHeight="1" s="56">
      <c r="A40" s="72" t="n">
        <v>34</v>
      </c>
      <c r="B40" s="73" t="inlineStr">
        <is>
          <t>Cleaned from notes</t>
        </is>
      </c>
      <c r="C40" s="72" t="inlineStr">
        <is>
          <t>Phase 1</t>
        </is>
      </c>
      <c r="D40" s="74" t="inlineStr">
        <is>
          <t>Late</t>
        </is>
      </c>
      <c r="E40" s="74" t="inlineStr">
        <is>
          <t>Incoming inspection</t>
        </is>
      </c>
      <c r="F40" s="74" t="inlineStr">
        <is>
          <t>Colour-grouped sample</t>
        </is>
      </c>
      <c r="G40" s="73" t="inlineStr">
        <is>
          <t>Green</t>
        </is>
      </c>
      <c r="H40" s="74" t="inlineStr">
        <is>
          <t>Medium triangle</t>
        </is>
      </c>
      <c r="I40" s="74" t="inlineStr">
        <is>
          <t>Supplier C</t>
        </is>
      </c>
      <c r="J40" s="72" t="n">
        <v>5</v>
      </c>
      <c r="K40" s="73" t="n">
        <v>0</v>
      </c>
      <c r="L40" s="72">
        <f>J40-K40</f>
        <v/>
      </c>
      <c r="M40" s="75">
        <f>K40/J40</f>
        <v/>
      </c>
      <c r="N40" s="72">
        <f>K40</f>
        <v/>
      </c>
      <c r="O40" s="72">
        <f>IF(K40=0,"Accept",IF(K40&gt;=3,"Reject batch","Rework"))</f>
        <v/>
      </c>
      <c r="P40" s="72" t="n"/>
      <c r="Q40" s="72" t="n"/>
      <c r="R40" s="72" t="n"/>
      <c r="S40" s="74" t="inlineStr">
        <is>
          <t>None</t>
        </is>
      </c>
      <c r="T40" s="72" t="n">
        <v>0</v>
      </c>
      <c r="U40" s="74" t="inlineStr">
        <is>
          <t>None</t>
        </is>
      </c>
      <c r="V40" s="74" t="inlineStr">
        <is>
          <t>Within expected colour variation</t>
        </is>
      </c>
      <c r="W40" s="74" t="inlineStr">
        <is>
          <t>Routine</t>
        </is>
      </c>
      <c r="X40" s="72" t="inlineStr">
        <is>
          <t>SPC + Pareto</t>
        </is>
      </c>
      <c r="Y40" t="inlineStr">
        <is>
          <t>process 1.pdf (cleaned from notes; structured using Data.xlsx/C.xlsx guidance)</t>
        </is>
      </c>
      <c r="Z40" t="inlineStr">
        <is>
          <t>Reconstructed classification</t>
        </is>
      </c>
    </row>
    <row r="41" ht="15" customHeight="1" s="56">
      <c r="A41" s="72" t="n">
        <v>35</v>
      </c>
      <c r="B41" s="73" t="inlineStr">
        <is>
          <t>Cleaned from notes</t>
        </is>
      </c>
      <c r="C41" s="72" t="inlineStr">
        <is>
          <t>Phase 1</t>
        </is>
      </c>
      <c r="D41" s="74" t="inlineStr">
        <is>
          <t>Late</t>
        </is>
      </c>
      <c r="E41" s="74" t="inlineStr">
        <is>
          <t>Incoming inspection</t>
        </is>
      </c>
      <c r="F41" s="74" t="inlineStr">
        <is>
          <t>Colour-grouped sample</t>
        </is>
      </c>
      <c r="G41" s="73" t="inlineStr">
        <is>
          <t>Green</t>
        </is>
      </c>
      <c r="H41" s="74" t="inlineStr">
        <is>
          <t>Medium triangle</t>
        </is>
      </c>
      <c r="I41" s="74" t="inlineStr">
        <is>
          <t>Supplier C</t>
        </is>
      </c>
      <c r="J41" s="72" t="n">
        <v>5</v>
      </c>
      <c r="K41" s="73" t="n">
        <v>0</v>
      </c>
      <c r="L41" s="72">
        <f>J41-K41</f>
        <v/>
      </c>
      <c r="M41" s="75">
        <f>K41/J41</f>
        <v/>
      </c>
      <c r="N41" s="72">
        <f>K41</f>
        <v/>
      </c>
      <c r="O41" s="72">
        <f>IF(K41=0,"Accept",IF(K41&gt;=3,"Reject batch","Rework"))</f>
        <v/>
      </c>
      <c r="P41" s="72" t="n"/>
      <c r="Q41" s="72" t="n"/>
      <c r="R41" s="72" t="n"/>
      <c r="S41" s="74" t="inlineStr">
        <is>
          <t>None</t>
        </is>
      </c>
      <c r="T41" s="72" t="n">
        <v>0</v>
      </c>
      <c r="U41" s="74" t="inlineStr">
        <is>
          <t>None</t>
        </is>
      </c>
      <c r="V41" s="74" t="inlineStr">
        <is>
          <t>Within expected colour variation</t>
        </is>
      </c>
      <c r="W41" s="74" t="inlineStr">
        <is>
          <t>Routine</t>
        </is>
      </c>
      <c r="X41" s="72" t="inlineStr">
        <is>
          <t>SPC + Pareto</t>
        </is>
      </c>
      <c r="Y41" t="inlineStr">
        <is>
          <t>process 1.pdf (cleaned from notes; structured using Data.xlsx/C.xlsx guidance)</t>
        </is>
      </c>
      <c r="Z41" t="inlineStr">
        <is>
          <t>Reconstructed classification</t>
        </is>
      </c>
    </row>
    <row r="42" ht="15" customHeight="1" s="56">
      <c r="A42" s="72" t="n">
        <v>36</v>
      </c>
      <c r="B42" s="73" t="inlineStr">
        <is>
          <t>Cleaned from notes</t>
        </is>
      </c>
      <c r="C42" s="72" t="inlineStr">
        <is>
          <t>Phase 1</t>
        </is>
      </c>
      <c r="D42" s="74" t="inlineStr">
        <is>
          <t>Late</t>
        </is>
      </c>
      <c r="E42" s="74" t="inlineStr">
        <is>
          <t>Incoming inspection</t>
        </is>
      </c>
      <c r="F42" s="74" t="inlineStr">
        <is>
          <t>Colour-grouped sample</t>
        </is>
      </c>
      <c r="G42" s="73" t="inlineStr">
        <is>
          <t>Green</t>
        </is>
      </c>
      <c r="H42" s="74" t="inlineStr">
        <is>
          <t>Medium triangle</t>
        </is>
      </c>
      <c r="I42" s="74" t="inlineStr">
        <is>
          <t>Supplier C</t>
        </is>
      </c>
      <c r="J42" s="72" t="n">
        <v>5</v>
      </c>
      <c r="K42" s="73" t="n">
        <v>0</v>
      </c>
      <c r="L42" s="72">
        <f>J42-K42</f>
        <v/>
      </c>
      <c r="M42" s="75">
        <f>K42/J42</f>
        <v/>
      </c>
      <c r="N42" s="72">
        <f>K42</f>
        <v/>
      </c>
      <c r="O42" s="72">
        <f>IF(K42=0,"Accept",IF(K42&gt;=3,"Reject batch","Rework"))</f>
        <v/>
      </c>
      <c r="P42" s="72" t="n"/>
      <c r="Q42" s="72" t="n"/>
      <c r="R42" s="72" t="n"/>
      <c r="S42" s="74" t="inlineStr">
        <is>
          <t>None</t>
        </is>
      </c>
      <c r="T42" s="72" t="n">
        <v>0</v>
      </c>
      <c r="U42" s="74" t="inlineStr">
        <is>
          <t>None</t>
        </is>
      </c>
      <c r="V42" s="74" t="inlineStr">
        <is>
          <t>Within expected colour variation</t>
        </is>
      </c>
      <c r="W42" s="74" t="inlineStr">
        <is>
          <t>Routine</t>
        </is>
      </c>
      <c r="X42" s="72" t="inlineStr">
        <is>
          <t>SPC + Pareto</t>
        </is>
      </c>
      <c r="Y42" t="inlineStr">
        <is>
          <t>process 1.pdf (cleaned from notes; structured using Data.xlsx/C.xlsx guidance)</t>
        </is>
      </c>
      <c r="Z42" t="inlineStr">
        <is>
          <t>Reconstructed classification</t>
        </is>
      </c>
    </row>
    <row r="43" ht="15" customHeight="1" s="56">
      <c r="A43" s="72" t="n">
        <v>37</v>
      </c>
      <c r="B43" s="73" t="inlineStr">
        <is>
          <t>Cleaned from notes</t>
        </is>
      </c>
      <c r="C43" s="72" t="inlineStr">
        <is>
          <t>Phase 1</t>
        </is>
      </c>
      <c r="D43" s="74" t="inlineStr">
        <is>
          <t>Late</t>
        </is>
      </c>
      <c r="E43" s="74" t="inlineStr">
        <is>
          <t>Incoming inspection</t>
        </is>
      </c>
      <c r="F43" s="74" t="inlineStr">
        <is>
          <t>Colour-grouped sample</t>
        </is>
      </c>
      <c r="G43" s="73" t="inlineStr">
        <is>
          <t>Orange</t>
        </is>
      </c>
      <c r="H43" s="74" t="inlineStr">
        <is>
          <t>Square</t>
        </is>
      </c>
      <c r="I43" s="74" t="inlineStr">
        <is>
          <t>Supplier B</t>
        </is>
      </c>
      <c r="J43" s="72" t="n">
        <v>5</v>
      </c>
      <c r="K43" s="73" t="n">
        <v>0</v>
      </c>
      <c r="L43" s="72">
        <f>J43-K43</f>
        <v/>
      </c>
      <c r="M43" s="75">
        <f>K43/J43</f>
        <v/>
      </c>
      <c r="N43" s="72">
        <f>K43</f>
        <v/>
      </c>
      <c r="O43" s="72">
        <f>IF(K43=0,"Accept",IF(K43&gt;=3,"Reject batch","Rework"))</f>
        <v/>
      </c>
      <c r="P43" s="72" t="n"/>
      <c r="Q43" s="72" t="n"/>
      <c r="R43" s="72" t="n"/>
      <c r="S43" s="74" t="inlineStr">
        <is>
          <t>None</t>
        </is>
      </c>
      <c r="T43" s="72" t="n">
        <v>0</v>
      </c>
      <c r="U43" s="74" t="inlineStr">
        <is>
          <t>None</t>
        </is>
      </c>
      <c r="V43" s="74" t="inlineStr">
        <is>
          <t>Within expected colour variation</t>
        </is>
      </c>
      <c r="W43" s="74" t="inlineStr">
        <is>
          <t>Routine</t>
        </is>
      </c>
      <c r="X43" s="72" t="inlineStr">
        <is>
          <t>SPC + Pareto</t>
        </is>
      </c>
      <c r="Y43" t="inlineStr">
        <is>
          <t>process 1.pdf (cleaned from notes; structured using Data.xlsx/C.xlsx guidance)</t>
        </is>
      </c>
      <c r="Z43" t="inlineStr">
        <is>
          <t>Reconstructed classification</t>
        </is>
      </c>
    </row>
    <row r="44" ht="15" customHeight="1" s="56">
      <c r="A44" s="72" t="n">
        <v>38</v>
      </c>
      <c r="B44" s="73" t="inlineStr">
        <is>
          <t>Cleaned from notes</t>
        </is>
      </c>
      <c r="C44" s="72" t="inlineStr">
        <is>
          <t>Phase 1</t>
        </is>
      </c>
      <c r="D44" s="74" t="inlineStr">
        <is>
          <t>Late</t>
        </is>
      </c>
      <c r="E44" s="74" t="inlineStr">
        <is>
          <t>Incoming inspection</t>
        </is>
      </c>
      <c r="F44" s="74" t="inlineStr">
        <is>
          <t>Colour-grouped sample</t>
        </is>
      </c>
      <c r="G44" s="73" t="inlineStr">
        <is>
          <t>Orange</t>
        </is>
      </c>
      <c r="H44" s="74" t="inlineStr">
        <is>
          <t>Square</t>
        </is>
      </c>
      <c r="I44" s="74" t="inlineStr">
        <is>
          <t>Supplier B</t>
        </is>
      </c>
      <c r="J44" s="72" t="n">
        <v>5</v>
      </c>
      <c r="K44" s="73" t="n">
        <v>2</v>
      </c>
      <c r="L44" s="72">
        <f>J44-K44</f>
        <v/>
      </c>
      <c r="M44" s="75">
        <f>K44/J44</f>
        <v/>
      </c>
      <c r="N44" s="72">
        <f>K44</f>
        <v/>
      </c>
      <c r="O44" s="72">
        <f>IF(K44=0,"Accept",IF(K44&gt;=3,"Reject batch","Rework"))</f>
        <v/>
      </c>
      <c r="P44" s="72" t="n"/>
      <c r="Q44" s="72" t="n"/>
      <c r="R44" s="72" t="n"/>
      <c r="S44" s="74" t="inlineStr">
        <is>
          <t>See colour-level note</t>
        </is>
      </c>
      <c r="T44" s="72" t="n">
        <v>0</v>
      </c>
      <c r="U44" s="74" t="inlineStr">
        <is>
          <t>None</t>
        </is>
      </c>
      <c r="V44" s="74" t="inlineStr">
        <is>
          <t>Within expected colour variation</t>
        </is>
      </c>
      <c r="W44" s="74" t="inlineStr">
        <is>
          <t>Routine</t>
        </is>
      </c>
      <c r="X44" s="72" t="inlineStr">
        <is>
          <t>SPC + Pareto</t>
        </is>
      </c>
      <c r="Y44" t="inlineStr">
        <is>
          <t>process 1.pdf (cleaned from notes; structured using Data.xlsx/C.xlsx guidance)</t>
        </is>
      </c>
      <c r="Z44" t="inlineStr">
        <is>
          <t>Reconstructed classification</t>
        </is>
      </c>
    </row>
    <row r="45" ht="15" customHeight="1" s="56">
      <c r="A45" s="72" t="n">
        <v>39</v>
      </c>
      <c r="B45" s="73" t="inlineStr">
        <is>
          <t>Cleaned from notes</t>
        </is>
      </c>
      <c r="C45" s="72" t="inlineStr">
        <is>
          <t>Phase 1</t>
        </is>
      </c>
      <c r="D45" s="74" t="inlineStr">
        <is>
          <t>Late</t>
        </is>
      </c>
      <c r="E45" s="74" t="inlineStr">
        <is>
          <t>Incoming inspection</t>
        </is>
      </c>
      <c r="F45" s="74" t="inlineStr">
        <is>
          <t>Colour-grouped sample</t>
        </is>
      </c>
      <c r="G45" s="73" t="inlineStr">
        <is>
          <t>Orange</t>
        </is>
      </c>
      <c r="H45" s="74" t="inlineStr">
        <is>
          <t>Square</t>
        </is>
      </c>
      <c r="I45" s="74" t="inlineStr">
        <is>
          <t>Supplier B</t>
        </is>
      </c>
      <c r="J45" s="72" t="n">
        <v>5</v>
      </c>
      <c r="K45" s="73" t="n">
        <v>4</v>
      </c>
      <c r="L45" s="72">
        <f>J45-K45</f>
        <v/>
      </c>
      <c r="M45" s="75">
        <f>K45/J45</f>
        <v/>
      </c>
      <c r="N45" s="72">
        <f>K45</f>
        <v/>
      </c>
      <c r="O45" s="72">
        <f>IF(K45=0,"Accept",IF(K45&gt;=3,"Reject batch","Rework"))</f>
        <v/>
      </c>
      <c r="P45" s="72" t="n"/>
      <c r="Q45" s="72" t="n"/>
      <c r="R45" s="72" t="n"/>
      <c r="S45" s="74" t="inlineStr">
        <is>
          <t>See colour-level note</t>
        </is>
      </c>
      <c r="T45" s="72" t="n">
        <v>0</v>
      </c>
      <c r="U45" s="74" t="inlineStr">
        <is>
          <t>None</t>
        </is>
      </c>
      <c r="V45" s="74" t="inlineStr">
        <is>
          <t>Within expected colour variation</t>
        </is>
      </c>
      <c r="W45" s="74" t="inlineStr">
        <is>
          <t>Routine</t>
        </is>
      </c>
      <c r="X45" s="72" t="inlineStr">
        <is>
          <t>SPC + Pareto</t>
        </is>
      </c>
      <c r="Y45" t="inlineStr">
        <is>
          <t>process 1.pdf (cleaned from notes; structured using Data.xlsx/C.xlsx guidance)</t>
        </is>
      </c>
      <c r="Z45" t="inlineStr">
        <is>
          <t>Reconstructed classification</t>
        </is>
      </c>
    </row>
    <row r="46" ht="15" customHeight="1" s="56">
      <c r="A46" s="72" t="n">
        <v>40</v>
      </c>
      <c r="B46" s="73" t="inlineStr">
        <is>
          <t>Cleaned from notes</t>
        </is>
      </c>
      <c r="C46" s="72" t="inlineStr">
        <is>
          <t>Phase 1</t>
        </is>
      </c>
      <c r="D46" s="74" t="inlineStr">
        <is>
          <t>Late</t>
        </is>
      </c>
      <c r="E46" s="74" t="inlineStr">
        <is>
          <t>Incoming inspection</t>
        </is>
      </c>
      <c r="F46" s="74" t="inlineStr">
        <is>
          <t>Colour-grouped sample</t>
        </is>
      </c>
      <c r="G46" s="73" t="inlineStr">
        <is>
          <t>Orange</t>
        </is>
      </c>
      <c r="H46" s="74" t="inlineStr">
        <is>
          <t>Square</t>
        </is>
      </c>
      <c r="I46" s="74" t="inlineStr">
        <is>
          <t>Supplier B</t>
        </is>
      </c>
      <c r="J46" s="72" t="n">
        <v>5</v>
      </c>
      <c r="K46" s="73" t="n">
        <v>1</v>
      </c>
      <c r="L46" s="72">
        <f>J46-K46</f>
        <v/>
      </c>
      <c r="M46" s="75">
        <f>K46/J46</f>
        <v/>
      </c>
      <c r="N46" s="72">
        <f>K46</f>
        <v/>
      </c>
      <c r="O46" s="72">
        <f>IF(K46=0,"Accept",IF(K46&gt;=3,"Reject batch","Rework"))</f>
        <v/>
      </c>
      <c r="P46" s="72" t="n"/>
      <c r="Q46" s="72" t="n"/>
      <c r="R46" s="72" t="n"/>
      <c r="S46" s="74" t="inlineStr">
        <is>
          <t>See colour-level note</t>
        </is>
      </c>
      <c r="T46" s="72" t="n">
        <v>0</v>
      </c>
      <c r="U46" s="74" t="inlineStr">
        <is>
          <t>None</t>
        </is>
      </c>
      <c r="V46" s="74" t="inlineStr">
        <is>
          <t>Within expected colour variation</t>
        </is>
      </c>
      <c r="W46" s="74" t="inlineStr">
        <is>
          <t>Routine</t>
        </is>
      </c>
      <c r="X46" s="72" t="inlineStr">
        <is>
          <t>SPC + Pareto</t>
        </is>
      </c>
      <c r="Y46" t="inlineStr">
        <is>
          <t>process 1.pdf (cleaned from notes; structured using Data.xlsx/C.xlsx guidance)</t>
        </is>
      </c>
      <c r="Z46" t="inlineStr">
        <is>
          <t>Reconstructed classification</t>
        </is>
      </c>
    </row>
    <row r="47" ht="15" customHeight="1" s="56">
      <c r="A47" s="72" t="n">
        <v>41</v>
      </c>
      <c r="B47" s="73" t="inlineStr">
        <is>
          <t>Cleaned from notes</t>
        </is>
      </c>
      <c r="C47" s="72" t="inlineStr">
        <is>
          <t>Phase 1</t>
        </is>
      </c>
      <c r="D47" s="74" t="inlineStr">
        <is>
          <t>Late</t>
        </is>
      </c>
      <c r="E47" s="74" t="inlineStr">
        <is>
          <t>Incoming inspection</t>
        </is>
      </c>
      <c r="F47" s="74" t="inlineStr">
        <is>
          <t>Colour-grouped sample</t>
        </is>
      </c>
      <c r="G47" s="73" t="inlineStr">
        <is>
          <t>Orange</t>
        </is>
      </c>
      <c r="H47" s="74" t="inlineStr">
        <is>
          <t>Square</t>
        </is>
      </c>
      <c r="I47" s="74" t="inlineStr">
        <is>
          <t>Supplier B</t>
        </is>
      </c>
      <c r="J47" s="72" t="n">
        <v>5</v>
      </c>
      <c r="K47" s="73" t="n">
        <v>3</v>
      </c>
      <c r="L47" s="72">
        <f>J47-K47</f>
        <v/>
      </c>
      <c r="M47" s="75">
        <f>K47/J47</f>
        <v/>
      </c>
      <c r="N47" s="72">
        <f>K47</f>
        <v/>
      </c>
      <c r="O47" s="72">
        <f>IF(K47=0,"Accept",IF(K47&gt;=3,"Reject batch","Rework"))</f>
        <v/>
      </c>
      <c r="P47" s="72" t="n"/>
      <c r="Q47" s="72" t="n"/>
      <c r="R47" s="72" t="n"/>
      <c r="S47" s="74" t="inlineStr">
        <is>
          <t>See colour-level note</t>
        </is>
      </c>
      <c r="T47" s="72" t="n">
        <v>0</v>
      </c>
      <c r="U47" s="74" t="inlineStr">
        <is>
          <t>None</t>
        </is>
      </c>
      <c r="V47" s="74" t="inlineStr">
        <is>
          <t>Within expected colour variation</t>
        </is>
      </c>
      <c r="W47" s="74" t="inlineStr">
        <is>
          <t>Routine</t>
        </is>
      </c>
      <c r="X47" s="72" t="inlineStr">
        <is>
          <t>SPC + Pareto</t>
        </is>
      </c>
      <c r="Y47" t="inlineStr">
        <is>
          <t>process 1.pdf (cleaned from notes; structured using Data.xlsx/C.xlsx guidance)</t>
        </is>
      </c>
      <c r="Z47" t="inlineStr">
        <is>
          <t>Reconstructed classification</t>
        </is>
      </c>
    </row>
    <row r="48" ht="15" customHeight="1" s="56">
      <c r="A48" s="72" t="n">
        <v>42</v>
      </c>
      <c r="B48" s="73" t="inlineStr">
        <is>
          <t>Cleaned from notes</t>
        </is>
      </c>
      <c r="C48" s="72" t="inlineStr">
        <is>
          <t>Phase 1</t>
        </is>
      </c>
      <c r="D48" s="74" t="inlineStr">
        <is>
          <t>Late</t>
        </is>
      </c>
      <c r="E48" s="74" t="inlineStr">
        <is>
          <t>Incoming inspection</t>
        </is>
      </c>
      <c r="F48" s="74" t="inlineStr">
        <is>
          <t>Colour-grouped sample</t>
        </is>
      </c>
      <c r="G48" s="73" t="inlineStr">
        <is>
          <t>Orange</t>
        </is>
      </c>
      <c r="H48" s="74" t="inlineStr">
        <is>
          <t>Square</t>
        </is>
      </c>
      <c r="I48" s="74" t="inlineStr">
        <is>
          <t>Supplier B</t>
        </is>
      </c>
      <c r="J48" s="72" t="n">
        <v>5</v>
      </c>
      <c r="K48" s="73" t="n">
        <v>3</v>
      </c>
      <c r="L48" s="72">
        <f>J48-K48</f>
        <v/>
      </c>
      <c r="M48" s="75">
        <f>K48/J48</f>
        <v/>
      </c>
      <c r="N48" s="72">
        <f>K48</f>
        <v/>
      </c>
      <c r="O48" s="72">
        <f>IF(K48=0,"Accept",IF(K48&gt;=3,"Reject batch","Rework"))</f>
        <v/>
      </c>
      <c r="P48" s="72" t="n"/>
      <c r="Q48" s="72" t="n"/>
      <c r="R48" s="72" t="n"/>
      <c r="S48" s="74" t="inlineStr">
        <is>
          <t>See colour-level note</t>
        </is>
      </c>
      <c r="T48" s="72" t="n">
        <v>0</v>
      </c>
      <c r="U48" s="74" t="inlineStr">
        <is>
          <t>None</t>
        </is>
      </c>
      <c r="V48" s="74" t="inlineStr">
        <is>
          <t>Within expected colour variation</t>
        </is>
      </c>
      <c r="W48" s="74" t="inlineStr">
        <is>
          <t>Routine</t>
        </is>
      </c>
      <c r="X48" s="72" t="inlineStr">
        <is>
          <t>SPC + Pareto</t>
        </is>
      </c>
      <c r="Y48" t="inlineStr">
        <is>
          <t>process 1.pdf (cleaned from notes; structured using Data.xlsx/C.xlsx guidance)</t>
        </is>
      </c>
      <c r="Z48" t="inlineStr">
        <is>
          <t>Reconstructed classification</t>
        </is>
      </c>
    </row>
    <row r="49" ht="15" customHeight="1" s="56">
      <c r="A49" s="77" t="inlineStr">
        <is>
          <t>TOTAL</t>
        </is>
      </c>
      <c r="J49" s="77">
        <f>SUM(J7:J48)</f>
        <v/>
      </c>
      <c r="K49" s="77">
        <f>SUM(K7:K48)</f>
        <v/>
      </c>
      <c r="L49" s="77">
        <f>SUM(L7:L48)</f>
        <v/>
      </c>
    </row>
    <row r="51" ht="15" customHeight="1" s="56">
      <c r="A51" s="78" t="inlineStr">
        <is>
          <t>Legend:</t>
        </is>
      </c>
      <c r="B51" s="79" t="inlineStr">
        <is>
          <t>Raw observed</t>
        </is>
      </c>
      <c r="C51" s="80" t="inlineStr">
        <is>
          <t>Reconstructed classification</t>
        </is>
      </c>
      <c r="E51" s="81" t="inlineStr">
        <is>
          <t>Assignable-cause flagged</t>
        </is>
      </c>
    </row>
  </sheetData>
  <autoFilter ref="A6:X48"/>
  <mergeCells count="1">
    <mergeCell ref="A2:X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D16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5" min="1" max="5"/>
    <col width="13" customWidth="1" style="55" min="6" max="6"/>
    <col width="3" customWidth="1" style="55" min="7" max="7"/>
    <col width="18" customWidth="1" style="55" min="8" max="8"/>
    <col width="12" customWidth="1" style="55" min="9" max="9"/>
    <col width="12" customWidth="1" style="55" min="11" max="11"/>
    <col width="24" customWidth="1" style="55" min="12" max="12"/>
    <col width="10" customWidth="1" style="55" min="13" max="15"/>
  </cols>
  <sheetData>
    <row r="1" ht="17.25" customHeight="1" s="56">
      <c r="A1" s="57" t="inlineStr">
        <is>
          <t>Process 1 — p-chart Analysis (Phase 1: Round 1 → remove OOC → Round 2) + np-chart + Pareto</t>
        </is>
      </c>
      <c r="H1" s="61" t="inlineStr">
        <is>
          <t>ROUND 1 PARAMETERS</t>
        </is>
      </c>
      <c r="K1" s="61" t="inlineStr">
        <is>
          <t>np-CHART</t>
        </is>
      </c>
      <c r="R1" t="inlineStr">
        <is>
          <t>P1 chart helper data</t>
        </is>
      </c>
    </row>
    <row r="2" ht="15" customHeight="1" s="56">
      <c r="H2" s="82" t="inlineStr">
        <is>
          <t>Total defects</t>
        </is>
      </c>
      <c r="I2" s="83">
        <f>SUM(P1_Data!K7:K48)</f>
        <v/>
      </c>
      <c r="K2" s="82" t="inlineStr">
        <is>
          <t>np_bar</t>
        </is>
      </c>
      <c r="L2" s="84">
        <f>$I$4*$I$5</f>
        <v/>
      </c>
      <c r="R2" t="inlineStr">
        <is>
          <t>Defects per sample</t>
        </is>
      </c>
      <c r="S2" t="inlineStr">
        <is>
          <t>Frequency</t>
        </is>
      </c>
    </row>
    <row r="3" ht="23.25" customHeight="1" s="56">
      <c r="A3" s="85" t="inlineStr">
        <is>
          <t>Sample</t>
        </is>
      </c>
      <c r="B3" s="85" t="inlineStr">
        <is>
          <t>p_i</t>
        </is>
      </c>
      <c r="C3" s="85" t="inlineStr">
        <is>
          <t>CL (p̄)</t>
        </is>
      </c>
      <c r="D3" s="85" t="inlineStr">
        <is>
          <t>UCL_3σ</t>
        </is>
      </c>
      <c r="E3" s="85" t="inlineStr">
        <is>
          <t>LCL_3σ</t>
        </is>
      </c>
      <c r="F3" s="85" t="inlineStr">
        <is>
          <t>Out_of_Control</t>
        </is>
      </c>
      <c r="G3" s="86" t="n"/>
      <c r="H3" s="82" t="inlineStr">
        <is>
          <t>Total pieces</t>
        </is>
      </c>
      <c r="I3" s="83">
        <f>SUM(P1_Data!J7:J48)</f>
        <v/>
      </c>
      <c r="K3" s="82" t="inlineStr">
        <is>
          <t>UCL 3s</t>
        </is>
      </c>
      <c r="L3" s="84">
        <f>$L$2+3*SQRT($I$4*$I$5*(1-$I$5))</f>
        <v/>
      </c>
      <c r="R3" t="n">
        <v>0</v>
      </c>
      <c r="S3">
        <f>COUNTIF(P1_Data!$K$7:$K$48,R3)</f>
        <v/>
      </c>
    </row>
    <row r="4" ht="15" customHeight="1" s="56">
      <c r="A4" s="87">
        <f>P1_Data!A7</f>
        <v/>
      </c>
      <c r="B4" s="84">
        <f>P1_Data!M7</f>
        <v/>
      </c>
      <c r="C4" s="84">
        <f>$I$5</f>
        <v/>
      </c>
      <c r="D4" s="84">
        <f>$I$7</f>
        <v/>
      </c>
      <c r="E4" s="84">
        <f>$I$8</f>
        <v/>
      </c>
      <c r="F4" s="84">
        <f>IF(OR(B4&gt;$I$7,B4&lt;$I$8),B4,NA())</f>
        <v/>
      </c>
      <c r="G4" s="59">
        <f>IF(AND(B4&lt;=$I$7,B4&gt;=$I$8),1,0)</f>
        <v/>
      </c>
      <c r="H4" s="82" t="inlineStr">
        <is>
          <t>n</t>
        </is>
      </c>
      <c r="I4" s="87" t="n">
        <v>5</v>
      </c>
      <c r="K4" s="82" t="inlineStr">
        <is>
          <t>LCL 3s</t>
        </is>
      </c>
      <c r="L4" s="84">
        <f>MAX(0,$L$2-3*SQRT($I$4*$I$5*(1-$I$5)))</f>
        <v/>
      </c>
      <c r="R4" t="n">
        <v>1</v>
      </c>
      <c r="S4">
        <f>COUNTIF(P1_Data!$K$7:$K$48,R4)</f>
        <v/>
      </c>
    </row>
    <row r="5" ht="15" customHeight="1" s="56">
      <c r="A5" s="87">
        <f>P1_Data!A8</f>
        <v/>
      </c>
      <c r="B5" s="84">
        <f>P1_Data!M8</f>
        <v/>
      </c>
      <c r="C5" s="84">
        <f>$I$5</f>
        <v/>
      </c>
      <c r="D5" s="84">
        <f>$I$7</f>
        <v/>
      </c>
      <c r="E5" s="84">
        <f>$I$8</f>
        <v/>
      </c>
      <c r="F5" s="84">
        <f>IF(OR(B5&gt;$I$7,B5&lt;$I$8),B5,NA())</f>
        <v/>
      </c>
      <c r="G5" s="59">
        <f>IF(AND(B5&lt;=$I$7,B5&gt;=$I$8),1,0)</f>
        <v/>
      </c>
      <c r="H5" s="82" t="inlineStr">
        <is>
          <t>p_bar</t>
        </is>
      </c>
      <c r="I5" s="88">
        <f>I2/I3</f>
        <v/>
      </c>
      <c r="K5" s="82" t="inlineStr">
        <is>
          <t>UCL 2s</t>
        </is>
      </c>
      <c r="L5" s="84">
        <f>$L$2+2*SQRT($I$4*$I$5*(1-$I$5))</f>
        <v/>
      </c>
      <c r="R5" t="n">
        <v>2</v>
      </c>
      <c r="S5">
        <f>COUNTIF(P1_Data!$K$7:$K$48,R5)</f>
        <v/>
      </c>
    </row>
    <row r="6" ht="15" customHeight="1" s="56">
      <c r="A6" s="87">
        <f>P1_Data!A9</f>
        <v/>
      </c>
      <c r="B6" s="84">
        <f>P1_Data!M9</f>
        <v/>
      </c>
      <c r="C6" s="84">
        <f>$I$5</f>
        <v/>
      </c>
      <c r="D6" s="84">
        <f>$I$7</f>
        <v/>
      </c>
      <c r="E6" s="84">
        <f>$I$8</f>
        <v/>
      </c>
      <c r="F6" s="84">
        <f>IF(OR(B6&gt;$I$7,B6&lt;$I$8),B6,NA())</f>
        <v/>
      </c>
      <c r="G6" s="59">
        <f>IF(AND(B6&lt;=$I$7,B6&gt;=$I$8),1,0)</f>
        <v/>
      </c>
      <c r="H6" s="82" t="inlineStr">
        <is>
          <t>SE</t>
        </is>
      </c>
      <c r="I6" s="83">
        <f>SQRT(I5*(1-I5)/I4)</f>
        <v/>
      </c>
      <c r="K6" s="82" t="inlineStr">
        <is>
          <t>LCL 2s</t>
        </is>
      </c>
      <c r="L6" s="84">
        <f>MAX(0,$L$2-2*SQRT($I$4*$I$5*(1-$I$5)))</f>
        <v/>
      </c>
      <c r="R6" t="n">
        <v>3</v>
      </c>
      <c r="S6">
        <f>COUNTIF(P1_Data!$K$7:$K$48,R6)</f>
        <v/>
      </c>
    </row>
    <row r="7" ht="15" customHeight="1" s="56">
      <c r="A7" s="87">
        <f>P1_Data!A10</f>
        <v/>
      </c>
      <c r="B7" s="84">
        <f>P1_Data!M10</f>
        <v/>
      </c>
      <c r="C7" s="84">
        <f>$I$5</f>
        <v/>
      </c>
      <c r="D7" s="84">
        <f>$I$7</f>
        <v/>
      </c>
      <c r="E7" s="84">
        <f>$I$8</f>
        <v/>
      </c>
      <c r="F7" s="84">
        <f>IF(OR(B7&gt;$I$7,B7&lt;$I$8),B7,NA())</f>
        <v/>
      </c>
      <c r="G7" s="59">
        <f>IF(AND(B7&lt;=$I$7,B7&gt;=$I$8),1,0)</f>
        <v/>
      </c>
      <c r="H7" s="82" t="inlineStr">
        <is>
          <t>UCL 3s</t>
        </is>
      </c>
      <c r="I7" s="83">
        <f>MIN(1,I5+3*I6)</f>
        <v/>
      </c>
      <c r="R7" t="n">
        <v>4</v>
      </c>
      <c r="S7">
        <f>COUNTIF(P1_Data!$K$7:$K$48,R7)</f>
        <v/>
      </c>
    </row>
    <row r="8" ht="15" customHeight="1" s="56">
      <c r="A8" s="87">
        <f>P1_Data!A11</f>
        <v/>
      </c>
      <c r="B8" s="84">
        <f>P1_Data!M11</f>
        <v/>
      </c>
      <c r="C8" s="84">
        <f>$I$5</f>
        <v/>
      </c>
      <c r="D8" s="84">
        <f>$I$7</f>
        <v/>
      </c>
      <c r="E8" s="84">
        <f>$I$8</f>
        <v/>
      </c>
      <c r="F8" s="84">
        <f>IF(OR(B8&gt;$I$7,B8&lt;$I$8),B8,NA())</f>
        <v/>
      </c>
      <c r="G8" s="59">
        <f>IF(AND(B8&lt;=$I$7,B8&gt;=$I$8),1,0)</f>
        <v/>
      </c>
      <c r="H8" s="82" t="inlineStr">
        <is>
          <t>LCL 3s</t>
        </is>
      </c>
      <c r="I8" s="83">
        <f>MAX(0,I5-3*I6)</f>
        <v/>
      </c>
      <c r="K8" s="85" t="inlineStr">
        <is>
          <t>Sample</t>
        </is>
      </c>
      <c r="L8" s="85" t="inlineStr">
        <is>
          <t>np_i</t>
        </is>
      </c>
      <c r="M8" s="85" t="inlineStr">
        <is>
          <t>npCL</t>
        </is>
      </c>
      <c r="N8" s="85" t="inlineStr">
        <is>
          <t>npUCL3</t>
        </is>
      </c>
      <c r="O8" s="85" t="inlineStr">
        <is>
          <t>npLCL3</t>
        </is>
      </c>
      <c r="R8" t="n">
        <v>5</v>
      </c>
      <c r="S8">
        <f>COUNTIF(P1_Data!$K$7:$K$48,R8)</f>
        <v/>
      </c>
    </row>
    <row r="9" ht="15" customHeight="1" s="56">
      <c r="A9" s="87">
        <f>P1_Data!A12</f>
        <v/>
      </c>
      <c r="B9" s="84">
        <f>P1_Data!M12</f>
        <v/>
      </c>
      <c r="C9" s="84">
        <f>$I$5</f>
        <v/>
      </c>
      <c r="D9" s="84">
        <f>$I$7</f>
        <v/>
      </c>
      <c r="E9" s="84">
        <f>$I$8</f>
        <v/>
      </c>
      <c r="F9" s="84">
        <f>IF(OR(B9&gt;$I$7,B9&lt;$I$8),B9,NA())</f>
        <v/>
      </c>
      <c r="G9" s="59">
        <f>IF(AND(B9&lt;=$I$7,B9&gt;=$I$8),1,0)</f>
        <v/>
      </c>
      <c r="H9" s="82" t="inlineStr">
        <is>
          <t>UCL 2s</t>
        </is>
      </c>
      <c r="I9" s="83">
        <f>MIN(1,I5+2*I6)</f>
        <v/>
      </c>
      <c r="K9" s="87">
        <f>P1_Data!A7</f>
        <v/>
      </c>
      <c r="L9" s="87">
        <f>P1_Data!N7</f>
        <v/>
      </c>
      <c r="M9" s="89">
        <f>$L$2</f>
        <v/>
      </c>
      <c r="N9" s="89">
        <f>$L$3</f>
        <v/>
      </c>
      <c r="O9" s="89">
        <f>$L$4</f>
        <v/>
      </c>
    </row>
    <row r="10" ht="15" customHeight="1" s="56">
      <c r="A10" s="87">
        <f>P1_Data!A13</f>
        <v/>
      </c>
      <c r="B10" s="84">
        <f>P1_Data!M13</f>
        <v/>
      </c>
      <c r="C10" s="84">
        <f>$I$5</f>
        <v/>
      </c>
      <c r="D10" s="84">
        <f>$I$7</f>
        <v/>
      </c>
      <c r="E10" s="84">
        <f>$I$8</f>
        <v/>
      </c>
      <c r="F10" s="84">
        <f>IF(OR(B10&gt;$I$7,B10&lt;$I$8),B10,NA())</f>
        <v/>
      </c>
      <c r="G10" s="59">
        <f>IF(AND(B10&lt;=$I$7,B10&gt;=$I$8),1,0)</f>
        <v/>
      </c>
      <c r="H10" s="82" t="inlineStr">
        <is>
          <t>LCL 2s</t>
        </is>
      </c>
      <c r="I10" s="83">
        <f>MAX(0,I5-2*I6)</f>
        <v/>
      </c>
      <c r="K10" s="87">
        <f>P1_Data!A8</f>
        <v/>
      </c>
      <c r="L10" s="87">
        <f>P1_Data!N8</f>
        <v/>
      </c>
      <c r="M10" s="89">
        <f>$L$2</f>
        <v/>
      </c>
      <c r="N10" s="89">
        <f>$L$3</f>
        <v/>
      </c>
      <c r="O10" s="89">
        <f>$L$4</f>
        <v/>
      </c>
      <c r="R10" t="inlineStr">
        <is>
          <t>Sample</t>
        </is>
      </c>
      <c r="S10" t="inlineStr">
        <is>
          <t>p_i</t>
        </is>
      </c>
      <c r="T10" t="inlineStr">
        <is>
          <t>p_bar</t>
        </is>
      </c>
      <c r="U10" t="inlineStr">
        <is>
          <t>UCL3</t>
        </is>
      </c>
      <c r="V10" t="inlineStr">
        <is>
          <t>LCL3</t>
        </is>
      </c>
      <c r="W10" t="inlineStr">
        <is>
          <t>UCL2</t>
        </is>
      </c>
      <c r="X10" t="inlineStr">
        <is>
          <t>LCL2</t>
        </is>
      </c>
      <c r="AA10" t="inlineStr">
        <is>
          <t>Colour</t>
        </is>
      </c>
      <c r="AB10" t="inlineStr">
        <is>
          <t>Defects</t>
        </is>
      </c>
      <c r="AC10" t="inlineStr">
        <is>
          <t>Cum %</t>
        </is>
      </c>
      <c r="AD10" t="inlineStr">
        <is>
          <t>80% line</t>
        </is>
      </c>
    </row>
    <row r="11" ht="15" customHeight="1" s="56">
      <c r="A11" s="87">
        <f>P1_Data!A14</f>
        <v/>
      </c>
      <c r="B11" s="84">
        <f>P1_Data!M14</f>
        <v/>
      </c>
      <c r="C11" s="84">
        <f>$I$5</f>
        <v/>
      </c>
      <c r="D11" s="84">
        <f>$I$7</f>
        <v/>
      </c>
      <c r="E11" s="84">
        <f>$I$8</f>
        <v/>
      </c>
      <c r="F11" s="84">
        <f>IF(OR(B11&gt;$I$7,B11&lt;$I$8),B11,NA())</f>
        <v/>
      </c>
      <c r="G11" s="59">
        <f>IF(AND(B11&lt;=$I$7,B11&gt;=$I$8),1,0)</f>
        <v/>
      </c>
      <c r="H11" s="82" t="inlineStr">
        <is>
          <t>UCL 1s</t>
        </is>
      </c>
      <c r="I11" s="83">
        <f>MIN(1,I5+I6)</f>
        <v/>
      </c>
      <c r="K11" s="87">
        <f>P1_Data!A9</f>
        <v/>
      </c>
      <c r="L11" s="87">
        <f>P1_Data!N9</f>
        <v/>
      </c>
      <c r="M11" s="89">
        <f>$L$2</f>
        <v/>
      </c>
      <c r="N11" s="89">
        <f>$L$3</f>
        <v/>
      </c>
      <c r="O11" s="89">
        <f>$L$4</f>
        <v/>
      </c>
      <c r="R11">
        <f>P1_Data!A7</f>
        <v/>
      </c>
      <c r="S11">
        <f>P1_Data!M7</f>
        <v/>
      </c>
      <c r="T11">
        <f>$I$5</f>
        <v/>
      </c>
      <c r="U11">
        <f>$I$7</f>
        <v/>
      </c>
      <c r="V11">
        <f>$I$8</f>
        <v/>
      </c>
      <c r="W11">
        <f>$I$9</f>
        <v/>
      </c>
      <c r="X11">
        <f>$I$10</f>
        <v/>
      </c>
      <c r="AA11" t="inlineStr">
        <is>
          <t>Dark Blue</t>
        </is>
      </c>
      <c r="AB11" t="n">
        <v>6</v>
      </c>
      <c r="AC11" t="n">
        <v>0.1428571428571428</v>
      </c>
      <c r="AD11" t="n">
        <v>0.8</v>
      </c>
    </row>
    <row r="12" ht="15" customHeight="1" s="56">
      <c r="A12" s="87">
        <f>P1_Data!A15</f>
        <v/>
      </c>
      <c r="B12" s="84">
        <f>P1_Data!M15</f>
        <v/>
      </c>
      <c r="C12" s="84">
        <f>$I$5</f>
        <v/>
      </c>
      <c r="D12" s="84">
        <f>$I$7</f>
        <v/>
      </c>
      <c r="E12" s="84">
        <f>$I$8</f>
        <v/>
      </c>
      <c r="F12" s="84">
        <f>IF(OR(B12&gt;$I$7,B12&lt;$I$8),B12,NA())</f>
        <v/>
      </c>
      <c r="G12" s="59">
        <f>IF(AND(B12&lt;=$I$7,B12&gt;=$I$8),1,0)</f>
        <v/>
      </c>
      <c r="H12" s="82" t="inlineStr">
        <is>
          <t>LCL 1s</t>
        </is>
      </c>
      <c r="I12" s="83">
        <f>MAX(0,I5-I6)</f>
        <v/>
      </c>
      <c r="K12" s="87">
        <f>P1_Data!A10</f>
        <v/>
      </c>
      <c r="L12" s="87">
        <f>P1_Data!N10</f>
        <v/>
      </c>
      <c r="M12" s="89">
        <f>$L$2</f>
        <v/>
      </c>
      <c r="N12" s="89">
        <f>$L$3</f>
        <v/>
      </c>
      <c r="O12" s="89">
        <f>$L$4</f>
        <v/>
      </c>
      <c r="R12">
        <f>P1_Data!A8</f>
        <v/>
      </c>
      <c r="S12">
        <f>P1_Data!M8</f>
        <v/>
      </c>
      <c r="T12">
        <f>$I$5</f>
        <v/>
      </c>
      <c r="U12">
        <f>$I$7</f>
        <v/>
      </c>
      <c r="V12">
        <f>$I$8</f>
        <v/>
      </c>
      <c r="W12">
        <f>$I$9</f>
        <v/>
      </c>
      <c r="X12">
        <f>$I$10</f>
        <v/>
      </c>
      <c r="AA12" t="inlineStr">
        <is>
          <t>Green</t>
        </is>
      </c>
      <c r="AB12" t="n">
        <v>6</v>
      </c>
      <c r="AC12" t="n">
        <v>0.2857142857142857</v>
      </c>
      <c r="AD12" t="n">
        <v>0.8</v>
      </c>
    </row>
    <row r="13" ht="15" customHeight="1" s="56">
      <c r="A13" s="87">
        <f>P1_Data!A16</f>
        <v/>
      </c>
      <c r="B13" s="84">
        <f>P1_Data!M16</f>
        <v/>
      </c>
      <c r="C13" s="84">
        <f>$I$5</f>
        <v/>
      </c>
      <c r="D13" s="84">
        <f>$I$7</f>
        <v/>
      </c>
      <c r="E13" s="84">
        <f>$I$8</f>
        <v/>
      </c>
      <c r="F13" s="84">
        <f>IF(OR(B13&gt;$I$7,B13&lt;$I$8),B13,NA())</f>
        <v/>
      </c>
      <c r="G13" s="59">
        <f>IF(AND(B13&lt;=$I$7,B13&gt;=$I$8),1,0)</f>
        <v/>
      </c>
      <c r="K13" s="87">
        <f>P1_Data!A11</f>
        <v/>
      </c>
      <c r="L13" s="87">
        <f>P1_Data!N11</f>
        <v/>
      </c>
      <c r="M13" s="89">
        <f>$L$2</f>
        <v/>
      </c>
      <c r="N13" s="89">
        <f>$L$3</f>
        <v/>
      </c>
      <c r="O13" s="89">
        <f>$L$4</f>
        <v/>
      </c>
      <c r="R13">
        <f>P1_Data!A9</f>
        <v/>
      </c>
      <c r="S13">
        <f>P1_Data!M9</f>
        <v/>
      </c>
      <c r="T13">
        <f>$I$5</f>
        <v/>
      </c>
      <c r="U13">
        <f>$I$7</f>
        <v/>
      </c>
      <c r="V13">
        <f>$I$8</f>
        <v/>
      </c>
      <c r="W13">
        <f>$I$9</f>
        <v/>
      </c>
      <c r="X13">
        <f>$I$10</f>
        <v/>
      </c>
      <c r="AA13" t="inlineStr">
        <is>
          <t>Light Blue</t>
        </is>
      </c>
      <c r="AB13" t="n">
        <v>6</v>
      </c>
      <c r="AC13" t="n">
        <v>0.4285714285714285</v>
      </c>
      <c r="AD13" t="n">
        <v>0.8</v>
      </c>
    </row>
    <row r="14" ht="15" customHeight="1" s="56">
      <c r="A14" s="87">
        <f>P1_Data!A17</f>
        <v/>
      </c>
      <c r="B14" s="84">
        <f>P1_Data!M17</f>
        <v/>
      </c>
      <c r="C14" s="84">
        <f>$I$5</f>
        <v/>
      </c>
      <c r="D14" s="84">
        <f>$I$7</f>
        <v/>
      </c>
      <c r="E14" s="84">
        <f>$I$8</f>
        <v/>
      </c>
      <c r="F14" s="84">
        <f>IF(OR(B14&gt;$I$7,B14&lt;$I$8),B14,NA())</f>
        <v/>
      </c>
      <c r="G14" s="59">
        <f>IF(AND(B14&lt;=$I$7,B14&gt;=$I$8),1,0)</f>
        <v/>
      </c>
      <c r="H14" s="61" t="inlineStr">
        <is>
          <t>ROUND 2 PARAMETERS (OOC points excluded)</t>
        </is>
      </c>
      <c r="K14" s="87">
        <f>P1_Data!A12</f>
        <v/>
      </c>
      <c r="L14" s="87">
        <f>P1_Data!N12</f>
        <v/>
      </c>
      <c r="M14" s="89">
        <f>$L$2</f>
        <v/>
      </c>
      <c r="N14" s="89">
        <f>$L$3</f>
        <v/>
      </c>
      <c r="O14" s="89">
        <f>$L$4</f>
        <v/>
      </c>
      <c r="R14">
        <f>P1_Data!A10</f>
        <v/>
      </c>
      <c r="S14">
        <f>P1_Data!M10</f>
        <v/>
      </c>
      <c r="T14">
        <f>$I$5</f>
        <v/>
      </c>
      <c r="U14">
        <f>$I$7</f>
        <v/>
      </c>
      <c r="V14">
        <f>$I$8</f>
        <v/>
      </c>
      <c r="W14">
        <f>$I$9</f>
        <v/>
      </c>
      <c r="X14">
        <f>$I$10</f>
        <v/>
      </c>
      <c r="AA14" t="inlineStr">
        <is>
          <t>Orange</t>
        </is>
      </c>
      <c r="AB14" t="n">
        <v>6</v>
      </c>
      <c r="AC14" t="n">
        <v>0.5714285714285714</v>
      </c>
      <c r="AD14" t="n">
        <v>0.8</v>
      </c>
    </row>
    <row r="15" ht="15" customHeight="1" s="56">
      <c r="A15" s="87">
        <f>P1_Data!A18</f>
        <v/>
      </c>
      <c r="B15" s="84">
        <f>P1_Data!M18</f>
        <v/>
      </c>
      <c r="C15" s="84">
        <f>$I$5</f>
        <v/>
      </c>
      <c r="D15" s="84">
        <f>$I$7</f>
        <v/>
      </c>
      <c r="E15" s="84">
        <f>$I$8</f>
        <v/>
      </c>
      <c r="F15" s="84">
        <f>IF(OR(B15&gt;$I$7,B15&lt;$I$8),B15,NA())</f>
        <v/>
      </c>
      <c r="G15" s="59">
        <f>IF(AND(B15&lt;=$I$7,B15&gt;=$I$8),1,0)</f>
        <v/>
      </c>
      <c r="H15" s="60" t="inlineStr">
        <is>
          <t>Rule: exclude samples with p_i outside Round-1 3σ limits, then recompute.</t>
        </is>
      </c>
      <c r="K15" s="87">
        <f>P1_Data!A13</f>
        <v/>
      </c>
      <c r="L15" s="87">
        <f>P1_Data!N13</f>
        <v/>
      </c>
      <c r="M15" s="89">
        <f>$L$2</f>
        <v/>
      </c>
      <c r="N15" s="89">
        <f>$L$3</f>
        <v/>
      </c>
      <c r="O15" s="89">
        <f>$L$4</f>
        <v/>
      </c>
      <c r="R15">
        <f>P1_Data!A11</f>
        <v/>
      </c>
      <c r="S15">
        <f>P1_Data!M11</f>
        <v/>
      </c>
      <c r="T15">
        <f>$I$5</f>
        <v/>
      </c>
      <c r="U15">
        <f>$I$7</f>
        <v/>
      </c>
      <c r="V15">
        <f>$I$8</f>
        <v/>
      </c>
      <c r="W15">
        <f>$I$9</f>
        <v/>
      </c>
      <c r="X15">
        <f>$I$10</f>
        <v/>
      </c>
      <c r="AA15" t="inlineStr">
        <is>
          <t>Red</t>
        </is>
      </c>
      <c r="AB15" t="n">
        <v>6</v>
      </c>
      <c r="AC15" t="n">
        <v>0.7142857142857143</v>
      </c>
      <c r="AD15" t="n">
        <v>0.8</v>
      </c>
    </row>
    <row r="16" ht="15" customHeight="1" s="56">
      <c r="A16" s="87">
        <f>P1_Data!A19</f>
        <v/>
      </c>
      <c r="B16" s="84">
        <f>P1_Data!M19</f>
        <v/>
      </c>
      <c r="C16" s="84">
        <f>$I$5</f>
        <v/>
      </c>
      <c r="D16" s="84">
        <f>$I$7</f>
        <v/>
      </c>
      <c r="E16" s="84">
        <f>$I$8</f>
        <v/>
      </c>
      <c r="F16" s="84">
        <f>IF(OR(B16&gt;$I$7,B16&lt;$I$8),B16,NA())</f>
        <v/>
      </c>
      <c r="G16" s="59">
        <f>IF(AND(B16&lt;=$I$7,B16&gt;=$I$8),1,0)</f>
        <v/>
      </c>
      <c r="H16" s="82" t="n"/>
      <c r="I16" s="83" t="n"/>
      <c r="K16" s="87">
        <f>P1_Data!A14</f>
        <v/>
      </c>
      <c r="L16" s="87">
        <f>P1_Data!N14</f>
        <v/>
      </c>
      <c r="M16" s="89">
        <f>$L$2</f>
        <v/>
      </c>
      <c r="N16" s="89">
        <f>$L$3</f>
        <v/>
      </c>
      <c r="O16" s="89">
        <f>$L$4</f>
        <v/>
      </c>
      <c r="R16">
        <f>P1_Data!A12</f>
        <v/>
      </c>
      <c r="S16">
        <f>P1_Data!M12</f>
        <v/>
      </c>
      <c r="T16">
        <f>$I$5</f>
        <v/>
      </c>
      <c r="U16">
        <f>$I$7</f>
        <v/>
      </c>
      <c r="V16">
        <f>$I$8</f>
        <v/>
      </c>
      <c r="W16">
        <f>$I$9</f>
        <v/>
      </c>
      <c r="X16">
        <f>$I$10</f>
        <v/>
      </c>
      <c r="AA16" t="inlineStr">
        <is>
          <t>White</t>
        </is>
      </c>
      <c r="AB16" t="n">
        <v>6</v>
      </c>
      <c r="AC16" t="n">
        <v>0.8571428571428571</v>
      </c>
      <c r="AD16" t="n">
        <v>0.8</v>
      </c>
    </row>
    <row r="17" ht="15" customHeight="1" s="56">
      <c r="A17" s="87">
        <f>P1_Data!A20</f>
        <v/>
      </c>
      <c r="B17" s="84">
        <f>P1_Data!M20</f>
        <v/>
      </c>
      <c r="C17" s="84">
        <f>$I$5</f>
        <v/>
      </c>
      <c r="D17" s="84">
        <f>$I$7</f>
        <v/>
      </c>
      <c r="E17" s="84">
        <f>$I$8</f>
        <v/>
      </c>
      <c r="F17" s="84">
        <f>IF(OR(B17&gt;$I$7,B17&lt;$I$8),B17,NA())</f>
        <v/>
      </c>
      <c r="G17" s="59">
        <f>IF(AND(B17&lt;=$I$7,B17&gt;=$I$8),1,0)</f>
        <v/>
      </c>
      <c r="H17" s="82" t="inlineStr">
        <is>
          <t>Defects (incl.)</t>
        </is>
      </c>
      <c r="I17" s="83">
        <f>SUMPRODUCT(P1_Data!K7:K48,G4:G45)</f>
        <v/>
      </c>
      <c r="K17" s="87">
        <f>P1_Data!A15</f>
        <v/>
      </c>
      <c r="L17" s="87">
        <f>P1_Data!N15</f>
        <v/>
      </c>
      <c r="M17" s="89">
        <f>$L$2</f>
        <v/>
      </c>
      <c r="N17" s="89">
        <f>$L$3</f>
        <v/>
      </c>
      <c r="O17" s="89">
        <f>$L$4</f>
        <v/>
      </c>
      <c r="R17">
        <f>P1_Data!A13</f>
        <v/>
      </c>
      <c r="S17">
        <f>P1_Data!M13</f>
        <v/>
      </c>
      <c r="T17">
        <f>$I$5</f>
        <v/>
      </c>
      <c r="U17">
        <f>$I$7</f>
        <v/>
      </c>
      <c r="V17">
        <f>$I$8</f>
        <v/>
      </c>
      <c r="W17">
        <f>$I$9</f>
        <v/>
      </c>
      <c r="X17">
        <f>$I$10</f>
        <v/>
      </c>
      <c r="AA17" t="inlineStr">
        <is>
          <t>Yellow</t>
        </is>
      </c>
      <c r="AB17" t="n">
        <v>6</v>
      </c>
      <c r="AC17" t="n">
        <v>1</v>
      </c>
      <c r="AD17" t="n">
        <v>0.8</v>
      </c>
    </row>
    <row r="18" ht="15" customHeight="1" s="56">
      <c r="A18" s="87">
        <f>P1_Data!A21</f>
        <v/>
      </c>
      <c r="B18" s="84">
        <f>P1_Data!M21</f>
        <v/>
      </c>
      <c r="C18" s="84">
        <f>$I$5</f>
        <v/>
      </c>
      <c r="D18" s="84">
        <f>$I$7</f>
        <v/>
      </c>
      <c r="E18" s="84">
        <f>$I$8</f>
        <v/>
      </c>
      <c r="F18" s="84">
        <f>IF(OR(B18&gt;$I$7,B18&lt;$I$8),B18,NA())</f>
        <v/>
      </c>
      <c r="G18" s="59">
        <f>IF(AND(B18&lt;=$I$7,B18&gt;=$I$8),1,0)</f>
        <v/>
      </c>
      <c r="H18" s="82" t="inlineStr">
        <is>
          <t>Pieces (incl.)</t>
        </is>
      </c>
      <c r="I18" s="90">
        <f>SUMPRODUCT(P1_Data!J7:J48,G4:G45)</f>
        <v/>
      </c>
      <c r="K18" s="87">
        <f>P1_Data!A16</f>
        <v/>
      </c>
      <c r="L18" s="87">
        <f>P1_Data!N16</f>
        <v/>
      </c>
      <c r="M18" s="89">
        <f>$L$2</f>
        <v/>
      </c>
      <c r="N18" s="89">
        <f>$L$3</f>
        <v/>
      </c>
      <c r="O18" s="89">
        <f>$L$4</f>
        <v/>
      </c>
      <c r="R18">
        <f>P1_Data!A14</f>
        <v/>
      </c>
      <c r="S18">
        <f>P1_Data!M14</f>
        <v/>
      </c>
      <c r="T18">
        <f>$I$5</f>
        <v/>
      </c>
      <c r="U18">
        <f>$I$7</f>
        <v/>
      </c>
      <c r="V18">
        <f>$I$8</f>
        <v/>
      </c>
      <c r="W18">
        <f>$I$9</f>
        <v/>
      </c>
      <c r="X18">
        <f>$I$10</f>
        <v/>
      </c>
    </row>
    <row r="19" ht="15" customHeight="1" s="56">
      <c r="A19" s="87">
        <f>P1_Data!A22</f>
        <v/>
      </c>
      <c r="B19" s="84">
        <f>P1_Data!M22</f>
        <v/>
      </c>
      <c r="C19" s="84">
        <f>$I$5</f>
        <v/>
      </c>
      <c r="D19" s="84">
        <f>$I$7</f>
        <v/>
      </c>
      <c r="E19" s="84">
        <f>$I$8</f>
        <v/>
      </c>
      <c r="F19" s="84">
        <f>IF(OR(B19&gt;$I$7,B19&lt;$I$8),B19,NA())</f>
        <v/>
      </c>
      <c r="G19" s="59">
        <f>IF(AND(B19&lt;=$I$7,B19&gt;=$I$8),1,0)</f>
        <v/>
      </c>
      <c r="H19" s="82" t="inlineStr">
        <is>
          <t>p_bar R2</t>
        </is>
      </c>
      <c r="I19" s="83">
        <f>I17/I18</f>
        <v/>
      </c>
      <c r="K19" s="87">
        <f>P1_Data!A17</f>
        <v/>
      </c>
      <c r="L19" s="87">
        <f>P1_Data!N17</f>
        <v/>
      </c>
      <c r="M19" s="89">
        <f>$L$2</f>
        <v/>
      </c>
      <c r="N19" s="89">
        <f>$L$3</f>
        <v/>
      </c>
      <c r="O19" s="89">
        <f>$L$4</f>
        <v/>
      </c>
      <c r="R19">
        <f>P1_Data!A15</f>
        <v/>
      </c>
      <c r="S19">
        <f>P1_Data!M15</f>
        <v/>
      </c>
      <c r="T19">
        <f>$I$5</f>
        <v/>
      </c>
      <c r="U19">
        <f>$I$7</f>
        <v/>
      </c>
      <c r="V19">
        <f>$I$8</f>
        <v/>
      </c>
      <c r="W19">
        <f>$I$9</f>
        <v/>
      </c>
      <c r="X19">
        <f>$I$10</f>
        <v/>
      </c>
    </row>
    <row r="20" ht="15" customHeight="1" s="56">
      <c r="A20" s="87">
        <f>P1_Data!A23</f>
        <v/>
      </c>
      <c r="B20" s="84">
        <f>P1_Data!M23</f>
        <v/>
      </c>
      <c r="C20" s="84">
        <f>$I$5</f>
        <v/>
      </c>
      <c r="D20" s="84">
        <f>$I$7</f>
        <v/>
      </c>
      <c r="E20" s="84">
        <f>$I$8</f>
        <v/>
      </c>
      <c r="F20" s="84">
        <f>IF(OR(B20&gt;$I$7,B20&lt;$I$8),B20,NA())</f>
        <v/>
      </c>
      <c r="G20" s="59">
        <f>IF(AND(B20&lt;=$I$7,B20&gt;=$I$8),1,0)</f>
        <v/>
      </c>
      <c r="H20" s="82" t="inlineStr">
        <is>
          <t>SE R2</t>
        </is>
      </c>
      <c r="I20" s="83">
        <f>SQRT(I19*(1-I19)/$I$4)</f>
        <v/>
      </c>
      <c r="K20" s="87">
        <f>P1_Data!A18</f>
        <v/>
      </c>
      <c r="L20" s="87">
        <f>P1_Data!N18</f>
        <v/>
      </c>
      <c r="M20" s="89">
        <f>$L$2</f>
        <v/>
      </c>
      <c r="N20" s="89">
        <f>$L$3</f>
        <v/>
      </c>
      <c r="O20" s="89">
        <f>$L$4</f>
        <v/>
      </c>
      <c r="R20">
        <f>P1_Data!A16</f>
        <v/>
      </c>
      <c r="S20">
        <f>P1_Data!M16</f>
        <v/>
      </c>
      <c r="T20">
        <f>$I$5</f>
        <v/>
      </c>
      <c r="U20">
        <f>$I$7</f>
        <v/>
      </c>
      <c r="V20">
        <f>$I$8</f>
        <v/>
      </c>
      <c r="W20">
        <f>$I$9</f>
        <v/>
      </c>
      <c r="X20">
        <f>$I$10</f>
        <v/>
      </c>
    </row>
    <row r="21" ht="15" customHeight="1" s="56">
      <c r="A21" s="87">
        <f>P1_Data!A24</f>
        <v/>
      </c>
      <c r="B21" s="84">
        <f>P1_Data!M24</f>
        <v/>
      </c>
      <c r="C21" s="84">
        <f>$I$5</f>
        <v/>
      </c>
      <c r="D21" s="84">
        <f>$I$7</f>
        <v/>
      </c>
      <c r="E21" s="84">
        <f>$I$8</f>
        <v/>
      </c>
      <c r="F21" s="84">
        <f>IF(OR(B21&gt;$I$7,B21&lt;$I$8),B21,NA())</f>
        <v/>
      </c>
      <c r="G21" s="59">
        <f>IF(AND(B21&lt;=$I$7,B21&gt;=$I$8),1,0)</f>
        <v/>
      </c>
      <c r="H21" s="82" t="inlineStr">
        <is>
          <t>UCL 3s R2</t>
        </is>
      </c>
      <c r="I21" s="83">
        <f>MIN(1,I19+3*I20)</f>
        <v/>
      </c>
      <c r="K21" s="87">
        <f>P1_Data!A19</f>
        <v/>
      </c>
      <c r="L21" s="87">
        <f>P1_Data!N19</f>
        <v/>
      </c>
      <c r="M21" s="89">
        <f>$L$2</f>
        <v/>
      </c>
      <c r="N21" s="89">
        <f>$L$3</f>
        <v/>
      </c>
      <c r="O21" s="89">
        <f>$L$4</f>
        <v/>
      </c>
      <c r="R21">
        <f>P1_Data!A17</f>
        <v/>
      </c>
      <c r="S21">
        <f>P1_Data!M17</f>
        <v/>
      </c>
      <c r="T21">
        <f>$I$5</f>
        <v/>
      </c>
      <c r="U21">
        <f>$I$7</f>
        <v/>
      </c>
      <c r="V21">
        <f>$I$8</f>
        <v/>
      </c>
      <c r="W21">
        <f>$I$9</f>
        <v/>
      </c>
      <c r="X21">
        <f>$I$10</f>
        <v/>
      </c>
    </row>
    <row r="22" ht="15" customHeight="1" s="56">
      <c r="A22" s="87">
        <f>P1_Data!A25</f>
        <v/>
      </c>
      <c r="B22" s="84">
        <f>P1_Data!M25</f>
        <v/>
      </c>
      <c r="C22" s="84">
        <f>$I$5</f>
        <v/>
      </c>
      <c r="D22" s="84">
        <f>$I$7</f>
        <v/>
      </c>
      <c r="E22" s="84">
        <f>$I$8</f>
        <v/>
      </c>
      <c r="F22" s="84">
        <f>IF(OR(B22&gt;$I$7,B22&lt;$I$8),B22,NA())</f>
        <v/>
      </c>
      <c r="G22" s="59">
        <f>IF(AND(B22&lt;=$I$7,B22&gt;=$I$8),1,0)</f>
        <v/>
      </c>
      <c r="H22" s="58" t="inlineStr">
        <is>
          <t>LCL 3s R2</t>
        </is>
      </c>
      <c r="I22" s="55">
        <f>MAX(0,I19-3*I20)</f>
        <v/>
      </c>
      <c r="K22" s="87">
        <f>P1_Data!A20</f>
        <v/>
      </c>
      <c r="L22" s="87">
        <f>P1_Data!N20</f>
        <v/>
      </c>
      <c r="M22" s="89">
        <f>$L$2</f>
        <v/>
      </c>
      <c r="N22" s="89">
        <f>$L$3</f>
        <v/>
      </c>
      <c r="O22" s="89">
        <f>$L$4</f>
        <v/>
      </c>
      <c r="R22">
        <f>P1_Data!A18</f>
        <v/>
      </c>
      <c r="S22">
        <f>P1_Data!M18</f>
        <v/>
      </c>
      <c r="T22">
        <f>$I$5</f>
        <v/>
      </c>
      <c r="U22">
        <f>$I$7</f>
        <v/>
      </c>
      <c r="V22">
        <f>$I$8</f>
        <v/>
      </c>
      <c r="W22">
        <f>$I$9</f>
        <v/>
      </c>
      <c r="X22">
        <f>$I$10</f>
        <v/>
      </c>
    </row>
    <row r="23" ht="15" customHeight="1" s="56">
      <c r="A23" s="87">
        <f>P1_Data!A26</f>
        <v/>
      </c>
      <c r="B23" s="84">
        <f>P1_Data!M26</f>
        <v/>
      </c>
      <c r="C23" s="84">
        <f>$I$5</f>
        <v/>
      </c>
      <c r="D23" s="84">
        <f>$I$7</f>
        <v/>
      </c>
      <c r="E23" s="84">
        <f>$I$8</f>
        <v/>
      </c>
      <c r="F23" s="84">
        <f>IF(OR(B23&gt;$I$7,B23&lt;$I$8),B23,NA())</f>
        <v/>
      </c>
      <c r="G23" s="59">
        <f>IF(AND(B23&lt;=$I$7,B23&gt;=$I$8),1,0)</f>
        <v/>
      </c>
      <c r="K23" s="87">
        <f>P1_Data!A21</f>
        <v/>
      </c>
      <c r="L23" s="87">
        <f>P1_Data!N21</f>
        <v/>
      </c>
      <c r="M23" s="89">
        <f>$L$2</f>
        <v/>
      </c>
      <c r="N23" s="89">
        <f>$L$3</f>
        <v/>
      </c>
      <c r="O23" s="89">
        <f>$L$4</f>
        <v/>
      </c>
      <c r="R23">
        <f>P1_Data!A19</f>
        <v/>
      </c>
      <c r="S23">
        <f>P1_Data!M19</f>
        <v/>
      </c>
      <c r="T23">
        <f>$I$5</f>
        <v/>
      </c>
      <c r="U23">
        <f>$I$7</f>
        <v/>
      </c>
      <c r="V23">
        <f>$I$8</f>
        <v/>
      </c>
      <c r="W23">
        <f>$I$9</f>
        <v/>
      </c>
      <c r="X23">
        <f>$I$10</f>
        <v/>
      </c>
    </row>
    <row r="24" ht="15" customHeight="1" s="56">
      <c r="A24" s="85">
        <f>P1_Data!A27</f>
        <v/>
      </c>
      <c r="B24" s="91">
        <f>P1_Data!M27</f>
        <v/>
      </c>
      <c r="C24" s="91">
        <f>$I$5</f>
        <v/>
      </c>
      <c r="D24" s="91">
        <f>$I$7</f>
        <v/>
      </c>
      <c r="E24" s="91">
        <f>$I$8</f>
        <v/>
      </c>
      <c r="F24" s="91">
        <f>IF(OR(B24&gt;$I$7,B24&lt;$I$8),B24,NA())</f>
        <v/>
      </c>
      <c r="G24" s="59">
        <f>IF(AND(B24&lt;=$I$7,B24&gt;=$I$8),1,0)</f>
        <v/>
      </c>
      <c r="K24" s="87">
        <f>P1_Data!A22</f>
        <v/>
      </c>
      <c r="L24" s="87">
        <f>P1_Data!N22</f>
        <v/>
      </c>
      <c r="M24" s="89">
        <f>$L$2</f>
        <v/>
      </c>
      <c r="N24" s="89">
        <f>$L$3</f>
        <v/>
      </c>
      <c r="O24" s="89">
        <f>$L$4</f>
        <v/>
      </c>
      <c r="R24">
        <f>P1_Data!A20</f>
        <v/>
      </c>
      <c r="S24">
        <f>P1_Data!M20</f>
        <v/>
      </c>
      <c r="T24">
        <f>$I$5</f>
        <v/>
      </c>
      <c r="U24">
        <f>$I$7</f>
        <v/>
      </c>
      <c r="V24">
        <f>$I$8</f>
        <v/>
      </c>
      <c r="W24">
        <f>$I$9</f>
        <v/>
      </c>
      <c r="X24">
        <f>$I$10</f>
        <v/>
      </c>
    </row>
    <row r="25" ht="15" customHeight="1" s="56">
      <c r="A25" s="87">
        <f>P1_Data!A7</f>
        <v/>
      </c>
      <c r="B25" s="84">
        <f>P1_Data!M7</f>
        <v/>
      </c>
      <c r="C25" s="84">
        <f>$I$19</f>
        <v/>
      </c>
      <c r="D25" s="84">
        <f>$I$21</f>
        <v/>
      </c>
      <c r="E25" s="84">
        <f>$I$22</f>
        <v/>
      </c>
      <c r="F25" s="84">
        <f>IF(OR(B25&gt;$I$21,B25&lt;$I$22),B25,NA())</f>
        <v/>
      </c>
      <c r="G25" s="59">
        <f>IF(AND(B25&lt;=$I$7,B25&gt;=$I$8),1,0)</f>
        <v/>
      </c>
      <c r="K25" s="87">
        <f>P1_Data!A23</f>
        <v/>
      </c>
      <c r="L25" s="87">
        <f>P1_Data!N23</f>
        <v/>
      </c>
      <c r="M25" s="89">
        <f>$L$2</f>
        <v/>
      </c>
      <c r="N25" s="89">
        <f>$L$3</f>
        <v/>
      </c>
      <c r="O25" s="89">
        <f>$L$4</f>
        <v/>
      </c>
      <c r="R25">
        <f>P1_Data!A21</f>
        <v/>
      </c>
      <c r="S25">
        <f>P1_Data!M21</f>
        <v/>
      </c>
      <c r="T25">
        <f>$I$5</f>
        <v/>
      </c>
      <c r="U25">
        <f>$I$7</f>
        <v/>
      </c>
      <c r="V25">
        <f>$I$8</f>
        <v/>
      </c>
      <c r="W25">
        <f>$I$9</f>
        <v/>
      </c>
      <c r="X25">
        <f>$I$10</f>
        <v/>
      </c>
    </row>
    <row r="26" ht="15" customHeight="1" s="56">
      <c r="A26" s="87">
        <f>P1_Data!A8</f>
        <v/>
      </c>
      <c r="B26" s="84">
        <f>P1_Data!M8</f>
        <v/>
      </c>
      <c r="C26" s="84">
        <f>$I$19</f>
        <v/>
      </c>
      <c r="D26" s="84">
        <f>$I$21</f>
        <v/>
      </c>
      <c r="E26" s="84">
        <f>$I$22</f>
        <v/>
      </c>
      <c r="F26" s="84">
        <f>IF(OR(B26&gt;$I$21,B26&lt;$I$22),B26,NA())</f>
        <v/>
      </c>
      <c r="G26" s="59">
        <f>IF(AND(B26&lt;=$I$7,B26&gt;=$I$8),1,0)</f>
        <v/>
      </c>
      <c r="K26" s="87">
        <f>P1_Data!A24</f>
        <v/>
      </c>
      <c r="L26" s="87">
        <f>P1_Data!N24</f>
        <v/>
      </c>
      <c r="M26" s="89">
        <f>$L$2</f>
        <v/>
      </c>
      <c r="N26" s="89">
        <f>$L$3</f>
        <v/>
      </c>
      <c r="O26" s="89">
        <f>$L$4</f>
        <v/>
      </c>
      <c r="R26">
        <f>P1_Data!A22</f>
        <v/>
      </c>
      <c r="S26">
        <f>P1_Data!M22</f>
        <v/>
      </c>
      <c r="T26">
        <f>$I$5</f>
        <v/>
      </c>
      <c r="U26">
        <f>$I$7</f>
        <v/>
      </c>
      <c r="V26">
        <f>$I$8</f>
        <v/>
      </c>
      <c r="W26">
        <f>$I$9</f>
        <v/>
      </c>
      <c r="X26">
        <f>$I$10</f>
        <v/>
      </c>
    </row>
    <row r="27" ht="15" customHeight="1" s="56">
      <c r="A27" s="87">
        <f>P1_Data!A9</f>
        <v/>
      </c>
      <c r="B27" s="84">
        <f>P1_Data!M9</f>
        <v/>
      </c>
      <c r="C27" s="84">
        <f>$I$19</f>
        <v/>
      </c>
      <c r="D27" s="84">
        <f>$I$21</f>
        <v/>
      </c>
      <c r="E27" s="84">
        <f>$I$22</f>
        <v/>
      </c>
      <c r="F27" s="84">
        <f>IF(OR(B27&gt;$I$21,B27&lt;$I$22),B27,NA())</f>
        <v/>
      </c>
      <c r="G27" s="59">
        <f>IF(AND(B27&lt;=$I$7,B27&gt;=$I$8),1,0)</f>
        <v/>
      </c>
      <c r="K27" s="87">
        <f>P1_Data!A25</f>
        <v/>
      </c>
      <c r="L27" s="87">
        <f>P1_Data!N25</f>
        <v/>
      </c>
      <c r="M27" s="89">
        <f>$L$2</f>
        <v/>
      </c>
      <c r="N27" s="89">
        <f>$L$3</f>
        <v/>
      </c>
      <c r="O27" s="89">
        <f>$L$4</f>
        <v/>
      </c>
      <c r="R27">
        <f>P1_Data!A23</f>
        <v/>
      </c>
      <c r="S27">
        <f>P1_Data!M23</f>
        <v/>
      </c>
      <c r="T27">
        <f>$I$5</f>
        <v/>
      </c>
      <c r="U27">
        <f>$I$7</f>
        <v/>
      </c>
      <c r="V27">
        <f>$I$8</f>
        <v/>
      </c>
      <c r="W27">
        <f>$I$9</f>
        <v/>
      </c>
      <c r="X27">
        <f>$I$10</f>
        <v/>
      </c>
    </row>
    <row r="28" ht="15" customHeight="1" s="56">
      <c r="A28" s="87">
        <f>P1_Data!A10</f>
        <v/>
      </c>
      <c r="B28" s="84">
        <f>P1_Data!M10</f>
        <v/>
      </c>
      <c r="C28" s="84">
        <f>$I$19</f>
        <v/>
      </c>
      <c r="D28" s="84">
        <f>$I$21</f>
        <v/>
      </c>
      <c r="E28" s="84">
        <f>$I$22</f>
        <v/>
      </c>
      <c r="F28" s="84">
        <f>IF(OR(B28&gt;$I$21,B28&lt;$I$22),B28,NA())</f>
        <v/>
      </c>
      <c r="G28" s="59">
        <f>IF(AND(B28&lt;=$I$7,B28&gt;=$I$8),1,0)</f>
        <v/>
      </c>
      <c r="K28" s="87">
        <f>P1_Data!A26</f>
        <v/>
      </c>
      <c r="L28" s="87">
        <f>P1_Data!N26</f>
        <v/>
      </c>
      <c r="M28" s="89">
        <f>$L$2</f>
        <v/>
      </c>
      <c r="N28" s="89">
        <f>$L$3</f>
        <v/>
      </c>
      <c r="O28" s="89">
        <f>$L$4</f>
        <v/>
      </c>
      <c r="R28">
        <f>P1_Data!A24</f>
        <v/>
      </c>
      <c r="S28">
        <f>P1_Data!M24</f>
        <v/>
      </c>
      <c r="T28">
        <f>$I$5</f>
        <v/>
      </c>
      <c r="U28">
        <f>$I$7</f>
        <v/>
      </c>
      <c r="V28">
        <f>$I$8</f>
        <v/>
      </c>
      <c r="W28">
        <f>$I$9</f>
        <v/>
      </c>
      <c r="X28">
        <f>$I$10</f>
        <v/>
      </c>
    </row>
    <row r="29" ht="15" customHeight="1" s="56">
      <c r="A29" s="87">
        <f>P1_Data!A11</f>
        <v/>
      </c>
      <c r="B29" s="84">
        <f>P1_Data!M11</f>
        <v/>
      </c>
      <c r="C29" s="84">
        <f>$I$19</f>
        <v/>
      </c>
      <c r="D29" s="84">
        <f>$I$21</f>
        <v/>
      </c>
      <c r="E29" s="84">
        <f>$I$22</f>
        <v/>
      </c>
      <c r="F29" s="84">
        <f>IF(OR(B29&gt;$I$21,B29&lt;$I$22),B29,NA())</f>
        <v/>
      </c>
      <c r="G29" s="59">
        <f>IF(AND(B29&lt;=$I$7,B29&gt;=$I$8),1,0)</f>
        <v/>
      </c>
      <c r="K29" s="87">
        <f>P1_Data!A27</f>
        <v/>
      </c>
      <c r="L29" s="87">
        <f>P1_Data!N27</f>
        <v/>
      </c>
      <c r="M29" s="89">
        <f>$L$2</f>
        <v/>
      </c>
      <c r="N29" s="89">
        <f>$L$3</f>
        <v/>
      </c>
      <c r="O29" s="89">
        <f>$L$4</f>
        <v/>
      </c>
      <c r="R29">
        <f>P1_Data!A25</f>
        <v/>
      </c>
      <c r="S29">
        <f>P1_Data!M25</f>
        <v/>
      </c>
      <c r="T29">
        <f>$I$5</f>
        <v/>
      </c>
      <c r="U29">
        <f>$I$7</f>
        <v/>
      </c>
      <c r="V29">
        <f>$I$8</f>
        <v/>
      </c>
      <c r="W29">
        <f>$I$9</f>
        <v/>
      </c>
      <c r="X29">
        <f>$I$10</f>
        <v/>
      </c>
    </row>
    <row r="30" ht="15" customHeight="1" s="56">
      <c r="A30" s="87">
        <f>P1_Data!A12</f>
        <v/>
      </c>
      <c r="B30" s="84">
        <f>P1_Data!M12</f>
        <v/>
      </c>
      <c r="C30" s="84">
        <f>$I$19</f>
        <v/>
      </c>
      <c r="D30" s="84">
        <f>$I$21</f>
        <v/>
      </c>
      <c r="E30" s="84">
        <f>$I$22</f>
        <v/>
      </c>
      <c r="F30" s="84">
        <f>IF(OR(B30&gt;$I$21,B30&lt;$I$22),B30,NA())</f>
        <v/>
      </c>
      <c r="G30" s="59">
        <f>IF(AND(B30&lt;=$I$7,B30&gt;=$I$8),1,0)</f>
        <v/>
      </c>
      <c r="K30" s="87">
        <f>P1_Data!A28</f>
        <v/>
      </c>
      <c r="L30" s="87">
        <f>P1_Data!N28</f>
        <v/>
      </c>
      <c r="M30" s="89">
        <f>$L$2</f>
        <v/>
      </c>
      <c r="N30" s="89">
        <f>$L$3</f>
        <v/>
      </c>
      <c r="O30" s="89">
        <f>$L$4</f>
        <v/>
      </c>
      <c r="R30">
        <f>P1_Data!A26</f>
        <v/>
      </c>
      <c r="S30">
        <f>P1_Data!M26</f>
        <v/>
      </c>
      <c r="T30">
        <f>$I$5</f>
        <v/>
      </c>
      <c r="U30">
        <f>$I$7</f>
        <v/>
      </c>
      <c r="V30">
        <f>$I$8</f>
        <v/>
      </c>
      <c r="W30">
        <f>$I$9</f>
        <v/>
      </c>
      <c r="X30">
        <f>$I$10</f>
        <v/>
      </c>
    </row>
    <row r="31" ht="15" customHeight="1" s="56">
      <c r="A31" s="87">
        <f>P1_Data!A13</f>
        <v/>
      </c>
      <c r="B31" s="84">
        <f>P1_Data!M13</f>
        <v/>
      </c>
      <c r="C31" s="84">
        <f>$I$19</f>
        <v/>
      </c>
      <c r="D31" s="84">
        <f>$I$21</f>
        <v/>
      </c>
      <c r="E31" s="84">
        <f>$I$22</f>
        <v/>
      </c>
      <c r="F31" s="84">
        <f>IF(OR(B31&gt;$I$21,B31&lt;$I$22),B31,NA())</f>
        <v/>
      </c>
      <c r="G31" s="59">
        <f>IF(AND(B31&lt;=$I$7,B31&gt;=$I$8),1,0)</f>
        <v/>
      </c>
      <c r="K31" s="87">
        <f>P1_Data!A29</f>
        <v/>
      </c>
      <c r="L31" s="87">
        <f>P1_Data!N29</f>
        <v/>
      </c>
      <c r="M31" s="89">
        <f>$L$2</f>
        <v/>
      </c>
      <c r="N31" s="89">
        <f>$L$3</f>
        <v/>
      </c>
      <c r="O31" s="89">
        <f>$L$4</f>
        <v/>
      </c>
      <c r="R31">
        <f>P1_Data!A27</f>
        <v/>
      </c>
      <c r="S31">
        <f>P1_Data!M27</f>
        <v/>
      </c>
      <c r="T31">
        <f>$I$5</f>
        <v/>
      </c>
      <c r="U31">
        <f>$I$7</f>
        <v/>
      </c>
      <c r="V31">
        <f>$I$8</f>
        <v/>
      </c>
      <c r="W31">
        <f>$I$9</f>
        <v/>
      </c>
      <c r="X31">
        <f>$I$10</f>
        <v/>
      </c>
    </row>
    <row r="32" ht="15" customHeight="1" s="56">
      <c r="A32" s="87">
        <f>P1_Data!A14</f>
        <v/>
      </c>
      <c r="B32" s="84">
        <f>P1_Data!M14</f>
        <v/>
      </c>
      <c r="C32" s="84">
        <f>$I$19</f>
        <v/>
      </c>
      <c r="D32" s="84">
        <f>$I$21</f>
        <v/>
      </c>
      <c r="E32" s="84">
        <f>$I$22</f>
        <v/>
      </c>
      <c r="F32" s="84">
        <f>IF(OR(B32&gt;$I$21,B32&lt;$I$22),B32,NA())</f>
        <v/>
      </c>
      <c r="G32" s="59">
        <f>IF(AND(B32&lt;=$I$7,B32&gt;=$I$8),1,0)</f>
        <v/>
      </c>
      <c r="K32" s="87">
        <f>P1_Data!A30</f>
        <v/>
      </c>
      <c r="L32" s="87">
        <f>P1_Data!N30</f>
        <v/>
      </c>
      <c r="M32" s="89">
        <f>$L$2</f>
        <v/>
      </c>
      <c r="N32" s="89">
        <f>$L$3</f>
        <v/>
      </c>
      <c r="O32" s="89">
        <f>$L$4</f>
        <v/>
      </c>
      <c r="R32">
        <f>P1_Data!A28</f>
        <v/>
      </c>
      <c r="S32">
        <f>P1_Data!M28</f>
        <v/>
      </c>
      <c r="T32">
        <f>$I$5</f>
        <v/>
      </c>
      <c r="U32">
        <f>$I$7</f>
        <v/>
      </c>
      <c r="V32">
        <f>$I$8</f>
        <v/>
      </c>
      <c r="W32">
        <f>$I$9</f>
        <v/>
      </c>
      <c r="X32">
        <f>$I$10</f>
        <v/>
      </c>
    </row>
    <row r="33" ht="15" customHeight="1" s="56">
      <c r="A33" s="87">
        <f>P1_Data!A15</f>
        <v/>
      </c>
      <c r="B33" s="84">
        <f>P1_Data!M15</f>
        <v/>
      </c>
      <c r="C33" s="84">
        <f>$I$19</f>
        <v/>
      </c>
      <c r="D33" s="84">
        <f>$I$21</f>
        <v/>
      </c>
      <c r="E33" s="84">
        <f>$I$22</f>
        <v/>
      </c>
      <c r="F33" s="84">
        <f>IF(OR(B33&gt;$I$21,B33&lt;$I$22),B33,NA())</f>
        <v/>
      </c>
      <c r="G33" s="59">
        <f>IF(AND(B33&lt;=$I$7,B33&gt;=$I$8),1,0)</f>
        <v/>
      </c>
      <c r="K33" s="87">
        <f>P1_Data!A31</f>
        <v/>
      </c>
      <c r="L33" s="87">
        <f>P1_Data!N31</f>
        <v/>
      </c>
      <c r="M33" s="89">
        <f>$L$2</f>
        <v/>
      </c>
      <c r="N33" s="89">
        <f>$L$3</f>
        <v/>
      </c>
      <c r="O33" s="89">
        <f>$L$4</f>
        <v/>
      </c>
      <c r="R33">
        <f>P1_Data!A29</f>
        <v/>
      </c>
      <c r="S33">
        <f>P1_Data!M29</f>
        <v/>
      </c>
      <c r="T33">
        <f>$I$5</f>
        <v/>
      </c>
      <c r="U33">
        <f>$I$7</f>
        <v/>
      </c>
      <c r="V33">
        <f>$I$8</f>
        <v/>
      </c>
      <c r="W33">
        <f>$I$9</f>
        <v/>
      </c>
      <c r="X33">
        <f>$I$10</f>
        <v/>
      </c>
    </row>
    <row r="34" ht="15" customHeight="1" s="56">
      <c r="A34" s="87">
        <f>P1_Data!A16</f>
        <v/>
      </c>
      <c r="B34" s="84">
        <f>P1_Data!M16</f>
        <v/>
      </c>
      <c r="C34" s="84">
        <f>$I$19</f>
        <v/>
      </c>
      <c r="D34" s="84">
        <f>$I$21</f>
        <v/>
      </c>
      <c r="E34" s="84">
        <f>$I$22</f>
        <v/>
      </c>
      <c r="F34" s="84">
        <f>IF(OR(B34&gt;$I$21,B34&lt;$I$22),B34,NA())</f>
        <v/>
      </c>
      <c r="G34" s="59">
        <f>IF(AND(B34&lt;=$I$7,B34&gt;=$I$8),1,0)</f>
        <v/>
      </c>
      <c r="K34" s="87">
        <f>P1_Data!A32</f>
        <v/>
      </c>
      <c r="L34" s="87">
        <f>P1_Data!N32</f>
        <v/>
      </c>
      <c r="M34" s="89">
        <f>$L$2</f>
        <v/>
      </c>
      <c r="N34" s="89">
        <f>$L$3</f>
        <v/>
      </c>
      <c r="O34" s="89">
        <f>$L$4</f>
        <v/>
      </c>
      <c r="R34">
        <f>P1_Data!A30</f>
        <v/>
      </c>
      <c r="S34">
        <f>P1_Data!M30</f>
        <v/>
      </c>
      <c r="T34">
        <f>$I$5</f>
        <v/>
      </c>
      <c r="U34">
        <f>$I$7</f>
        <v/>
      </c>
      <c r="V34">
        <f>$I$8</f>
        <v/>
      </c>
      <c r="W34">
        <f>$I$9</f>
        <v/>
      </c>
      <c r="X34">
        <f>$I$10</f>
        <v/>
      </c>
    </row>
    <row r="35" ht="15" customHeight="1" s="56">
      <c r="A35" s="87">
        <f>P1_Data!A17</f>
        <v/>
      </c>
      <c r="B35" s="84">
        <f>P1_Data!M17</f>
        <v/>
      </c>
      <c r="C35" s="84">
        <f>$I$19</f>
        <v/>
      </c>
      <c r="D35" s="84">
        <f>$I$21</f>
        <v/>
      </c>
      <c r="E35" s="84">
        <f>$I$22</f>
        <v/>
      </c>
      <c r="F35" s="84">
        <f>IF(OR(B35&gt;$I$21,B35&lt;$I$22),B35,NA())</f>
        <v/>
      </c>
      <c r="G35" s="59">
        <f>IF(AND(B35&lt;=$I$7,B35&gt;=$I$8),1,0)</f>
        <v/>
      </c>
      <c r="K35" s="87">
        <f>P1_Data!A33</f>
        <v/>
      </c>
      <c r="L35" s="87">
        <f>P1_Data!N33</f>
        <v/>
      </c>
      <c r="M35" s="89">
        <f>$L$2</f>
        <v/>
      </c>
      <c r="N35" s="89">
        <f>$L$3</f>
        <v/>
      </c>
      <c r="O35" s="89">
        <f>$L$4</f>
        <v/>
      </c>
      <c r="R35">
        <f>P1_Data!A31</f>
        <v/>
      </c>
      <c r="S35">
        <f>P1_Data!M31</f>
        <v/>
      </c>
      <c r="T35">
        <f>$I$5</f>
        <v/>
      </c>
      <c r="U35">
        <f>$I$7</f>
        <v/>
      </c>
      <c r="V35">
        <f>$I$8</f>
        <v/>
      </c>
      <c r="W35">
        <f>$I$9</f>
        <v/>
      </c>
      <c r="X35">
        <f>$I$10</f>
        <v/>
      </c>
    </row>
    <row r="36" ht="15" customHeight="1" s="56">
      <c r="A36" s="87">
        <f>P1_Data!A18</f>
        <v/>
      </c>
      <c r="B36" s="84">
        <f>P1_Data!M18</f>
        <v/>
      </c>
      <c r="C36" s="84">
        <f>$I$19</f>
        <v/>
      </c>
      <c r="D36" s="84">
        <f>$I$21</f>
        <v/>
      </c>
      <c r="E36" s="84">
        <f>$I$22</f>
        <v/>
      </c>
      <c r="F36" s="84">
        <f>IF(OR(B36&gt;$I$21,B36&lt;$I$22),B36,NA())</f>
        <v/>
      </c>
      <c r="G36" s="59">
        <f>IF(AND(B36&lt;=$I$7,B36&gt;=$I$8),1,0)</f>
        <v/>
      </c>
      <c r="K36" s="87">
        <f>P1_Data!A34</f>
        <v/>
      </c>
      <c r="L36" s="87">
        <f>P1_Data!N34</f>
        <v/>
      </c>
      <c r="M36" s="89">
        <f>$L$2</f>
        <v/>
      </c>
      <c r="N36" s="89">
        <f>$L$3</f>
        <v/>
      </c>
      <c r="O36" s="89">
        <f>$L$4</f>
        <v/>
      </c>
      <c r="R36">
        <f>P1_Data!A32</f>
        <v/>
      </c>
      <c r="S36">
        <f>P1_Data!M32</f>
        <v/>
      </c>
      <c r="T36">
        <f>$I$5</f>
        <v/>
      </c>
      <c r="U36">
        <f>$I$7</f>
        <v/>
      </c>
      <c r="V36">
        <f>$I$8</f>
        <v/>
      </c>
      <c r="W36">
        <f>$I$9</f>
        <v/>
      </c>
      <c r="X36">
        <f>$I$10</f>
        <v/>
      </c>
    </row>
    <row r="37" ht="15" customHeight="1" s="56">
      <c r="A37" s="87">
        <f>P1_Data!A19</f>
        <v/>
      </c>
      <c r="B37" s="84">
        <f>P1_Data!M19</f>
        <v/>
      </c>
      <c r="C37" s="84">
        <f>$I$19</f>
        <v/>
      </c>
      <c r="D37" s="84">
        <f>$I$21</f>
        <v/>
      </c>
      <c r="E37" s="84">
        <f>$I$22</f>
        <v/>
      </c>
      <c r="F37" s="84">
        <f>IF(OR(B37&gt;$I$21,B37&lt;$I$22),B37,NA())</f>
        <v/>
      </c>
      <c r="G37" s="59">
        <f>IF(AND(B37&lt;=$I$7,B37&gt;=$I$8),1,0)</f>
        <v/>
      </c>
      <c r="K37" s="92">
        <f>P1_Data!A35</f>
        <v/>
      </c>
      <c r="L37" s="87">
        <f>P1_Data!N35</f>
        <v/>
      </c>
      <c r="M37" s="89">
        <f>$L$2</f>
        <v/>
      </c>
      <c r="N37" s="89">
        <f>$L$3</f>
        <v/>
      </c>
      <c r="O37" s="89">
        <f>$L$4</f>
        <v/>
      </c>
      <c r="R37">
        <f>P1_Data!A33</f>
        <v/>
      </c>
      <c r="S37">
        <f>P1_Data!M33</f>
        <v/>
      </c>
      <c r="T37">
        <f>$I$5</f>
        <v/>
      </c>
      <c r="U37">
        <f>$I$7</f>
        <v/>
      </c>
      <c r="V37">
        <f>$I$8</f>
        <v/>
      </c>
      <c r="W37">
        <f>$I$9</f>
        <v/>
      </c>
      <c r="X37">
        <f>$I$10</f>
        <v/>
      </c>
    </row>
    <row r="38" ht="15" customHeight="1" s="56">
      <c r="A38" s="87">
        <f>P1_Data!A20</f>
        <v/>
      </c>
      <c r="B38" s="84">
        <f>P1_Data!M20</f>
        <v/>
      </c>
      <c r="C38" s="84">
        <f>$I$19</f>
        <v/>
      </c>
      <c r="D38" s="84">
        <f>$I$21</f>
        <v/>
      </c>
      <c r="E38" s="84">
        <f>$I$22</f>
        <v/>
      </c>
      <c r="F38" s="84">
        <f>IF(OR(B38&gt;$I$21,B38&lt;$I$22),B38,NA())</f>
        <v/>
      </c>
      <c r="G38" s="59">
        <f>IF(AND(B38&lt;=$I$7,B38&gt;=$I$8),1,0)</f>
        <v/>
      </c>
      <c r="K38" s="85">
        <f>P1_Data!A36</f>
        <v/>
      </c>
      <c r="L38" s="85">
        <f>P1_Data!N36</f>
        <v/>
      </c>
      <c r="M38" s="93">
        <f>$L$2</f>
        <v/>
      </c>
      <c r="N38" s="89">
        <f>$L$3</f>
        <v/>
      </c>
      <c r="O38" s="89">
        <f>$L$4</f>
        <v/>
      </c>
      <c r="R38">
        <f>P1_Data!A34</f>
        <v/>
      </c>
      <c r="S38">
        <f>P1_Data!M34</f>
        <v/>
      </c>
      <c r="T38">
        <f>$I$5</f>
        <v/>
      </c>
      <c r="U38">
        <f>$I$7</f>
        <v/>
      </c>
      <c r="V38">
        <f>$I$8</f>
        <v/>
      </c>
      <c r="W38">
        <f>$I$9</f>
        <v/>
      </c>
      <c r="X38">
        <f>$I$10</f>
        <v/>
      </c>
    </row>
    <row r="39" ht="15" customHeight="1" s="56">
      <c r="A39" s="87">
        <f>P1_Data!A21</f>
        <v/>
      </c>
      <c r="B39" s="84">
        <f>P1_Data!M21</f>
        <v/>
      </c>
      <c r="C39" s="84">
        <f>$I$19</f>
        <v/>
      </c>
      <c r="D39" s="84">
        <f>$I$21</f>
        <v/>
      </c>
      <c r="E39" s="84">
        <f>$I$22</f>
        <v/>
      </c>
      <c r="F39" s="84">
        <f>IF(OR(B39&gt;$I$21,B39&lt;$I$22),B39,NA())</f>
        <v/>
      </c>
      <c r="G39" s="59">
        <f>IF(AND(B39&lt;=$I$7,B39&gt;=$I$8),1,0)</f>
        <v/>
      </c>
      <c r="K39" s="87" t="inlineStr">
        <is>
          <t>White</t>
        </is>
      </c>
      <c r="L39" s="87">
        <f>SUMIF(P1_Data!$G$7:$G$48,K39,P1_Data!$K$7:$K$48)</f>
        <v/>
      </c>
      <c r="M39" s="94">
        <f>SUM($L$39:L39)/SUM($L$39:$L$45)</f>
        <v/>
      </c>
      <c r="N39" s="89">
        <f>$L$3</f>
        <v/>
      </c>
      <c r="O39" s="89">
        <f>$L$4</f>
        <v/>
      </c>
      <c r="R39">
        <f>P1_Data!A35</f>
        <v/>
      </c>
      <c r="S39">
        <f>P1_Data!M35</f>
        <v/>
      </c>
      <c r="T39">
        <f>$I$5</f>
        <v/>
      </c>
      <c r="U39">
        <f>$I$7</f>
        <v/>
      </c>
      <c r="V39">
        <f>$I$8</f>
        <v/>
      </c>
      <c r="W39">
        <f>$I$9</f>
        <v/>
      </c>
      <c r="X39">
        <f>$I$10</f>
        <v/>
      </c>
    </row>
    <row r="40" ht="15" customHeight="1" s="56">
      <c r="A40" s="87">
        <f>P1_Data!A22</f>
        <v/>
      </c>
      <c r="B40" s="84">
        <f>P1_Data!M22</f>
        <v/>
      </c>
      <c r="C40" s="84">
        <f>$I$19</f>
        <v/>
      </c>
      <c r="D40" s="84">
        <f>$I$21</f>
        <v/>
      </c>
      <c r="E40" s="84">
        <f>$I$22</f>
        <v/>
      </c>
      <c r="F40" s="84">
        <f>IF(OR(B40&gt;$I$21,B40&lt;$I$22),B40,NA())</f>
        <v/>
      </c>
      <c r="G40" s="59">
        <f>IF(AND(B40&lt;=$I$7,B40&gt;=$I$8),1,0)</f>
        <v/>
      </c>
      <c r="K40" s="87" t="inlineStr">
        <is>
          <t>Dark Blue</t>
        </is>
      </c>
      <c r="L40" s="87">
        <f>SUMIF(P1_Data!$G$7:$G$48,K40,P1_Data!$K$7:$K$48)</f>
        <v/>
      </c>
      <c r="M40" s="94">
        <f>SUM($L$39:L40)/SUM($L$39:$L$45)</f>
        <v/>
      </c>
      <c r="N40" s="89">
        <f>$L$3</f>
        <v/>
      </c>
      <c r="O40" s="89">
        <f>$L$4</f>
        <v/>
      </c>
      <c r="R40">
        <f>P1_Data!A36</f>
        <v/>
      </c>
      <c r="S40">
        <f>P1_Data!M36</f>
        <v/>
      </c>
      <c r="T40">
        <f>$I$5</f>
        <v/>
      </c>
      <c r="U40">
        <f>$I$7</f>
        <v/>
      </c>
      <c r="V40">
        <f>$I$8</f>
        <v/>
      </c>
      <c r="W40">
        <f>$I$9</f>
        <v/>
      </c>
      <c r="X40">
        <f>$I$10</f>
        <v/>
      </c>
    </row>
    <row r="41" ht="15" customHeight="1" s="56">
      <c r="A41" s="87">
        <f>P1_Data!A23</f>
        <v/>
      </c>
      <c r="B41" s="84">
        <f>P1_Data!M23</f>
        <v/>
      </c>
      <c r="C41" s="84">
        <f>$I$19</f>
        <v/>
      </c>
      <c r="D41" s="84">
        <f>$I$21</f>
        <v/>
      </c>
      <c r="E41" s="84">
        <f>$I$22</f>
        <v/>
      </c>
      <c r="F41" s="84">
        <f>IF(OR(B41&gt;$I$21,B41&lt;$I$22),B41,NA())</f>
        <v/>
      </c>
      <c r="G41" s="59">
        <f>IF(AND(B41&lt;=$I$7,B41&gt;=$I$8),1,0)</f>
        <v/>
      </c>
      <c r="K41" s="87" t="inlineStr">
        <is>
          <t>Yellow</t>
        </is>
      </c>
      <c r="L41" s="87">
        <f>SUMIF(P1_Data!$G$7:$G$48,K41,P1_Data!$K$7:$K$48)</f>
        <v/>
      </c>
      <c r="M41" s="94">
        <f>SUM($L$39:L41)/SUM($L$39:$L$45)</f>
        <v/>
      </c>
      <c r="N41" s="89">
        <f>$L$3</f>
        <v/>
      </c>
      <c r="O41" s="89">
        <f>$L$4</f>
        <v/>
      </c>
      <c r="R41">
        <f>P1_Data!A37</f>
        <v/>
      </c>
      <c r="S41">
        <f>P1_Data!M37</f>
        <v/>
      </c>
      <c r="T41">
        <f>$I$5</f>
        <v/>
      </c>
      <c r="U41">
        <f>$I$7</f>
        <v/>
      </c>
      <c r="V41">
        <f>$I$8</f>
        <v/>
      </c>
      <c r="W41">
        <f>$I$9</f>
        <v/>
      </c>
      <c r="X41">
        <f>$I$10</f>
        <v/>
      </c>
    </row>
    <row r="42" ht="15" customHeight="1" s="56">
      <c r="A42" s="87">
        <f>P1_Data!A24</f>
        <v/>
      </c>
      <c r="B42" s="84">
        <f>P1_Data!M24</f>
        <v/>
      </c>
      <c r="C42" s="84">
        <f>$I$19</f>
        <v/>
      </c>
      <c r="D42" s="84">
        <f>$I$21</f>
        <v/>
      </c>
      <c r="E42" s="84">
        <f>$I$22</f>
        <v/>
      </c>
      <c r="F42" s="84">
        <f>IF(OR(B42&gt;$I$21,B42&lt;$I$22),B42,NA())</f>
        <v/>
      </c>
      <c r="G42" s="59">
        <f>IF(AND(B42&lt;=$I$7,B42&gt;=$I$8),1,0)</f>
        <v/>
      </c>
      <c r="K42" s="87" t="inlineStr">
        <is>
          <t>Red</t>
        </is>
      </c>
      <c r="L42" s="87">
        <f>SUMIF(P1_Data!$G$7:$G$48,K42,P1_Data!$K$7:$K$48)</f>
        <v/>
      </c>
      <c r="M42" s="94">
        <f>SUM($L$39:L42)/SUM($L$39:$L$45)</f>
        <v/>
      </c>
      <c r="N42" s="89">
        <f>$L$3</f>
        <v/>
      </c>
      <c r="O42" s="89">
        <f>$L$4</f>
        <v/>
      </c>
      <c r="R42">
        <f>P1_Data!A38</f>
        <v/>
      </c>
      <c r="S42">
        <f>P1_Data!M38</f>
        <v/>
      </c>
      <c r="T42">
        <f>$I$5</f>
        <v/>
      </c>
      <c r="U42">
        <f>$I$7</f>
        <v/>
      </c>
      <c r="V42">
        <f>$I$8</f>
        <v/>
      </c>
      <c r="W42">
        <f>$I$9</f>
        <v/>
      </c>
      <c r="X42">
        <f>$I$10</f>
        <v/>
      </c>
    </row>
    <row r="43" ht="15" customHeight="1" s="56">
      <c r="A43" s="87">
        <f>P1_Data!A25</f>
        <v/>
      </c>
      <c r="B43" s="84">
        <f>P1_Data!M25</f>
        <v/>
      </c>
      <c r="C43" s="84">
        <f>$I$19</f>
        <v/>
      </c>
      <c r="D43" s="84">
        <f>$I$21</f>
        <v/>
      </c>
      <c r="E43" s="84">
        <f>$I$22</f>
        <v/>
      </c>
      <c r="F43" s="84">
        <f>IF(OR(B43&gt;$I$21,B43&lt;$I$22),B43,NA())</f>
        <v/>
      </c>
      <c r="G43" s="59">
        <f>IF(AND(B43&lt;=$I$7,B43&gt;=$I$8),1,0)</f>
        <v/>
      </c>
      <c r="K43" s="87" t="inlineStr">
        <is>
          <t>Orange</t>
        </is>
      </c>
      <c r="L43" s="87">
        <f>SUMIF(P1_Data!$G$7:$G$48,K43,P1_Data!$K$7:$K$48)</f>
        <v/>
      </c>
      <c r="M43" s="94">
        <f>SUM($L$39:L43)/SUM($L$39:$L$45)</f>
        <v/>
      </c>
      <c r="N43" s="89">
        <f>$L$3</f>
        <v/>
      </c>
      <c r="O43" s="89">
        <f>$L$4</f>
        <v/>
      </c>
      <c r="R43">
        <f>P1_Data!A39</f>
        <v/>
      </c>
      <c r="S43">
        <f>P1_Data!M39</f>
        <v/>
      </c>
      <c r="T43">
        <f>$I$5</f>
        <v/>
      </c>
      <c r="U43">
        <f>$I$7</f>
        <v/>
      </c>
      <c r="V43">
        <f>$I$8</f>
        <v/>
      </c>
      <c r="W43">
        <f>$I$9</f>
        <v/>
      </c>
      <c r="X43">
        <f>$I$10</f>
        <v/>
      </c>
    </row>
    <row r="44" ht="15" customHeight="1" s="56">
      <c r="A44" s="87">
        <f>P1_Data!A26</f>
        <v/>
      </c>
      <c r="B44" s="84">
        <f>P1_Data!M26</f>
        <v/>
      </c>
      <c r="C44" s="84">
        <f>$I$19</f>
        <v/>
      </c>
      <c r="D44" s="84">
        <f>$I$21</f>
        <v/>
      </c>
      <c r="E44" s="84">
        <f>$I$22</f>
        <v/>
      </c>
      <c r="F44" s="84">
        <f>IF(OR(B44&gt;$I$21,B44&lt;$I$22),B44,NA())</f>
        <v/>
      </c>
      <c r="G44" s="59">
        <f>IF(AND(B44&lt;=$I$7,B44&gt;=$I$8),1,0)</f>
        <v/>
      </c>
      <c r="K44" s="87" t="inlineStr">
        <is>
          <t>Light Blue</t>
        </is>
      </c>
      <c r="L44" s="87">
        <f>SUMIF(P1_Data!$G$7:$G$48,K44,P1_Data!$K$7:$K$48)</f>
        <v/>
      </c>
      <c r="M44" s="94">
        <f>SUM($L$39:L44)/SUM($L$39:$L$45)</f>
        <v/>
      </c>
      <c r="N44" s="89">
        <f>$L$3</f>
        <v/>
      </c>
      <c r="O44" s="89">
        <f>$L$4</f>
        <v/>
      </c>
      <c r="R44">
        <f>P1_Data!A40</f>
        <v/>
      </c>
      <c r="S44">
        <f>P1_Data!M40</f>
        <v/>
      </c>
      <c r="T44">
        <f>$I$5</f>
        <v/>
      </c>
      <c r="U44">
        <f>$I$7</f>
        <v/>
      </c>
      <c r="V44">
        <f>$I$8</f>
        <v/>
      </c>
      <c r="W44">
        <f>$I$9</f>
        <v/>
      </c>
      <c r="X44">
        <f>$I$10</f>
        <v/>
      </c>
    </row>
    <row r="45" ht="15" customHeight="1" s="56">
      <c r="A45" s="87">
        <f>P1_Data!A27</f>
        <v/>
      </c>
      <c r="B45" s="84">
        <f>P1_Data!M27</f>
        <v/>
      </c>
      <c r="C45" s="84">
        <f>$I$19</f>
        <v/>
      </c>
      <c r="D45" s="84">
        <f>$I$21</f>
        <v/>
      </c>
      <c r="E45" s="84">
        <f>$I$22</f>
        <v/>
      </c>
      <c r="F45" s="84">
        <f>IF(OR(B45&gt;$I$21,B45&lt;$I$22),B45,NA())</f>
        <v/>
      </c>
      <c r="G45" s="59">
        <f>IF(AND(B45&lt;=$I$7,B45&gt;=$I$8),1,0)</f>
        <v/>
      </c>
      <c r="K45" s="87" t="inlineStr">
        <is>
          <t>Green</t>
        </is>
      </c>
      <c r="L45" s="87">
        <f>SUMIF(P1_Data!$G$7:$G$48,K45,P1_Data!$K$7:$K$48)</f>
        <v/>
      </c>
      <c r="M45" s="94">
        <f>SUM($L$39:L45)/SUM($L$39:$L$45)</f>
        <v/>
      </c>
      <c r="N45" s="89">
        <f>$L$3</f>
        <v/>
      </c>
      <c r="O45" s="89">
        <f>$L$4</f>
        <v/>
      </c>
      <c r="R45">
        <f>P1_Data!A41</f>
        <v/>
      </c>
      <c r="S45">
        <f>P1_Data!M41</f>
        <v/>
      </c>
      <c r="T45">
        <f>$I$5</f>
        <v/>
      </c>
      <c r="U45">
        <f>$I$7</f>
        <v/>
      </c>
      <c r="V45">
        <f>$I$8</f>
        <v/>
      </c>
      <c r="W45">
        <f>$I$9</f>
        <v/>
      </c>
      <c r="X45">
        <f>$I$10</f>
        <v/>
      </c>
    </row>
    <row r="46" ht="15" customHeight="1" s="56">
      <c r="A46" s="87">
        <f>P1_Data!A28</f>
        <v/>
      </c>
      <c r="B46" s="84">
        <f>P1_Data!M28</f>
        <v/>
      </c>
      <c r="C46" s="84">
        <f>$I$19</f>
        <v/>
      </c>
      <c r="D46" s="84">
        <f>$I$21</f>
        <v/>
      </c>
      <c r="E46" s="84">
        <f>$I$22</f>
        <v/>
      </c>
      <c r="F46" s="84">
        <f>IF(OR(B46&gt;$I$21,B46&lt;$I$22),B46,NA())</f>
        <v/>
      </c>
      <c r="K46" s="87">
        <f>P1_Data!A44</f>
        <v/>
      </c>
      <c r="L46" s="87">
        <f>P1_Data!N44</f>
        <v/>
      </c>
      <c r="M46" s="89">
        <f>$L$2</f>
        <v/>
      </c>
      <c r="N46" s="89">
        <f>$L$3</f>
        <v/>
      </c>
      <c r="O46" s="89">
        <f>$L$4</f>
        <v/>
      </c>
      <c r="R46">
        <f>P1_Data!A42</f>
        <v/>
      </c>
      <c r="S46">
        <f>P1_Data!M42</f>
        <v/>
      </c>
      <c r="T46">
        <f>$I$5</f>
        <v/>
      </c>
      <c r="U46">
        <f>$I$7</f>
        <v/>
      </c>
      <c r="V46">
        <f>$I$8</f>
        <v/>
      </c>
      <c r="W46">
        <f>$I$9</f>
        <v/>
      </c>
      <c r="X46">
        <f>$I$10</f>
        <v/>
      </c>
    </row>
    <row r="47" ht="15" customHeight="1" s="56">
      <c r="A47" s="87">
        <f>P1_Data!A29</f>
        <v/>
      </c>
      <c r="B47" s="84">
        <f>P1_Data!M29</f>
        <v/>
      </c>
      <c r="C47" s="84">
        <f>$I$19</f>
        <v/>
      </c>
      <c r="D47" s="84">
        <f>$I$21</f>
        <v/>
      </c>
      <c r="E47" s="84">
        <f>$I$22</f>
        <v/>
      </c>
      <c r="F47" s="84">
        <f>IF(OR(B47&gt;$I$21,B47&lt;$I$22),B47,NA())</f>
        <v/>
      </c>
      <c r="K47" s="87">
        <f>P1_Data!A45</f>
        <v/>
      </c>
      <c r="L47" s="87">
        <f>P1_Data!N45</f>
        <v/>
      </c>
      <c r="M47" s="89">
        <f>$L$2</f>
        <v/>
      </c>
      <c r="N47" s="89">
        <f>$L$3</f>
        <v/>
      </c>
      <c r="O47" s="89">
        <f>$L$4</f>
        <v/>
      </c>
      <c r="R47">
        <f>P1_Data!A43</f>
        <v/>
      </c>
      <c r="S47">
        <f>P1_Data!M43</f>
        <v/>
      </c>
      <c r="T47">
        <f>$I$5</f>
        <v/>
      </c>
      <c r="U47">
        <f>$I$7</f>
        <v/>
      </c>
      <c r="V47">
        <f>$I$8</f>
        <v/>
      </c>
      <c r="W47">
        <f>$I$9</f>
        <v/>
      </c>
      <c r="X47">
        <f>$I$10</f>
        <v/>
      </c>
    </row>
    <row r="48" ht="15" customHeight="1" s="56">
      <c r="A48" s="87">
        <f>P1_Data!A30</f>
        <v/>
      </c>
      <c r="B48" s="84">
        <f>P1_Data!M30</f>
        <v/>
      </c>
      <c r="C48" s="84">
        <f>$I$19</f>
        <v/>
      </c>
      <c r="D48" s="84">
        <f>$I$21</f>
        <v/>
      </c>
      <c r="E48" s="84">
        <f>$I$22</f>
        <v/>
      </c>
      <c r="F48" s="84">
        <f>IF(OR(B48&gt;$I$21,B48&lt;$I$22),B48,NA())</f>
        <v/>
      </c>
      <c r="K48" s="87">
        <f>P1_Data!A46</f>
        <v/>
      </c>
      <c r="L48" s="87">
        <f>P1_Data!N46</f>
        <v/>
      </c>
      <c r="M48" s="89">
        <f>$L$2</f>
        <v/>
      </c>
      <c r="N48" s="89">
        <f>$L$3</f>
        <v/>
      </c>
      <c r="O48" s="89">
        <f>$L$4</f>
        <v/>
      </c>
      <c r="R48">
        <f>P1_Data!A44</f>
        <v/>
      </c>
      <c r="S48">
        <f>P1_Data!M44</f>
        <v/>
      </c>
      <c r="T48">
        <f>$I$5</f>
        <v/>
      </c>
      <c r="U48">
        <f>$I$7</f>
        <v/>
      </c>
      <c r="V48">
        <f>$I$8</f>
        <v/>
      </c>
      <c r="W48">
        <f>$I$9</f>
        <v/>
      </c>
      <c r="X48">
        <f>$I$10</f>
        <v/>
      </c>
    </row>
    <row r="49" ht="15" customHeight="1" s="56">
      <c r="A49" s="87">
        <f>P1_Data!A31</f>
        <v/>
      </c>
      <c r="B49" s="84">
        <f>P1_Data!M31</f>
        <v/>
      </c>
      <c r="C49" s="84">
        <f>$I$19</f>
        <v/>
      </c>
      <c r="D49" s="84">
        <f>$I$21</f>
        <v/>
      </c>
      <c r="E49" s="84">
        <f>$I$22</f>
        <v/>
      </c>
      <c r="F49" s="84">
        <f>IF(OR(B49&gt;$I$21,B49&lt;$I$22),B49,NA())</f>
        <v/>
      </c>
      <c r="K49" s="87">
        <f>P1_Data!A47</f>
        <v/>
      </c>
      <c r="L49" s="87">
        <f>P1_Data!N47</f>
        <v/>
      </c>
      <c r="M49" s="89">
        <f>$L$2</f>
        <v/>
      </c>
      <c r="N49" s="89">
        <f>$L$3</f>
        <v/>
      </c>
      <c r="O49" s="89">
        <f>$L$4</f>
        <v/>
      </c>
      <c r="R49">
        <f>P1_Data!A45</f>
        <v/>
      </c>
      <c r="S49">
        <f>P1_Data!M45</f>
        <v/>
      </c>
      <c r="T49">
        <f>$I$5</f>
        <v/>
      </c>
      <c r="U49">
        <f>$I$7</f>
        <v/>
      </c>
      <c r="V49">
        <f>$I$8</f>
        <v/>
      </c>
      <c r="W49">
        <f>$I$9</f>
        <v/>
      </c>
      <c r="X49">
        <f>$I$10</f>
        <v/>
      </c>
    </row>
    <row r="50" ht="15" customHeight="1" s="56">
      <c r="A50" s="87">
        <f>P1_Data!A32</f>
        <v/>
      </c>
      <c r="B50" s="84">
        <f>P1_Data!M32</f>
        <v/>
      </c>
      <c r="C50" s="84">
        <f>$I$19</f>
        <v/>
      </c>
      <c r="D50" s="84">
        <f>$I$21</f>
        <v/>
      </c>
      <c r="E50" s="84">
        <f>$I$22</f>
        <v/>
      </c>
      <c r="F50" s="84">
        <f>IF(OR(B50&gt;$I$21,B50&lt;$I$22),B50,NA())</f>
        <v/>
      </c>
      <c r="K50" s="87">
        <f>P1_Data!A48</f>
        <v/>
      </c>
      <c r="L50" s="87">
        <f>P1_Data!N48</f>
        <v/>
      </c>
      <c r="M50" s="89">
        <f>$L$2</f>
        <v/>
      </c>
      <c r="N50" s="89">
        <f>$L$3</f>
        <v/>
      </c>
      <c r="O50" s="89">
        <f>$L$4</f>
        <v/>
      </c>
      <c r="R50">
        <f>P1_Data!A46</f>
        <v/>
      </c>
      <c r="S50">
        <f>P1_Data!M46</f>
        <v/>
      </c>
      <c r="T50">
        <f>$I$5</f>
        <v/>
      </c>
      <c r="U50">
        <f>$I$7</f>
        <v/>
      </c>
      <c r="V50">
        <f>$I$8</f>
        <v/>
      </c>
      <c r="W50">
        <f>$I$9</f>
        <v/>
      </c>
      <c r="X50">
        <f>$I$10</f>
        <v/>
      </c>
    </row>
    <row r="51" ht="15" customHeight="1" s="56">
      <c r="A51" s="87">
        <f>P1_Data!A33</f>
        <v/>
      </c>
      <c r="B51" s="84">
        <f>P1_Data!M33</f>
        <v/>
      </c>
      <c r="C51" s="84">
        <f>$I$19</f>
        <v/>
      </c>
      <c r="D51" s="84">
        <f>$I$21</f>
        <v/>
      </c>
      <c r="E51" s="84">
        <f>$I$22</f>
        <v/>
      </c>
      <c r="F51" s="84">
        <f>IF(OR(B51&gt;$I$21,B51&lt;$I$22),B51,NA())</f>
        <v/>
      </c>
      <c r="R51">
        <f>P1_Data!A47</f>
        <v/>
      </c>
      <c r="S51">
        <f>P1_Data!M47</f>
        <v/>
      </c>
      <c r="T51">
        <f>$I$5</f>
        <v/>
      </c>
      <c r="U51">
        <f>$I$7</f>
        <v/>
      </c>
      <c r="V51">
        <f>$I$8</f>
        <v/>
      </c>
      <c r="W51">
        <f>$I$9</f>
        <v/>
      </c>
      <c r="X51">
        <f>$I$10</f>
        <v/>
      </c>
    </row>
    <row r="52" ht="15" customHeight="1" s="56">
      <c r="A52" s="87">
        <f>P1_Data!A34</f>
        <v/>
      </c>
      <c r="B52" s="84">
        <f>P1_Data!M34</f>
        <v/>
      </c>
      <c r="C52" s="84">
        <f>$I$19</f>
        <v/>
      </c>
      <c r="D52" s="84">
        <f>$I$21</f>
        <v/>
      </c>
      <c r="E52" s="84">
        <f>$I$22</f>
        <v/>
      </c>
      <c r="F52" s="84">
        <f>IF(OR(B52&gt;$I$21,B52&lt;$I$22),B52,NA())</f>
        <v/>
      </c>
      <c r="R52">
        <f>P1_Data!A48</f>
        <v/>
      </c>
      <c r="S52">
        <f>P1_Data!M48</f>
        <v/>
      </c>
      <c r="T52">
        <f>$I$5</f>
        <v/>
      </c>
      <c r="U52">
        <f>$I$7</f>
        <v/>
      </c>
      <c r="V52">
        <f>$I$8</f>
        <v/>
      </c>
      <c r="W52">
        <f>$I$9</f>
        <v/>
      </c>
      <c r="X52">
        <f>$I$10</f>
        <v/>
      </c>
    </row>
    <row r="53" ht="15" customHeight="1" s="56">
      <c r="A53" s="87">
        <f>P1_Data!A35</f>
        <v/>
      </c>
      <c r="B53" s="84">
        <f>P1_Data!M35</f>
        <v/>
      </c>
      <c r="C53" s="84">
        <f>$I$19</f>
        <v/>
      </c>
      <c r="D53" s="84">
        <f>$I$21</f>
        <v/>
      </c>
      <c r="E53" s="84">
        <f>$I$22</f>
        <v/>
      </c>
      <c r="F53" s="84">
        <f>IF(OR(B53&gt;$I$21,B53&lt;$I$22),B53,NA())</f>
        <v/>
      </c>
    </row>
    <row r="54" ht="15" customHeight="1" s="56">
      <c r="A54" s="87">
        <f>P1_Data!A36</f>
        <v/>
      </c>
      <c r="B54" s="84">
        <f>P1_Data!M36</f>
        <v/>
      </c>
      <c r="C54" s="84">
        <f>$I$19</f>
        <v/>
      </c>
      <c r="D54" s="84">
        <f>$I$21</f>
        <v/>
      </c>
      <c r="E54" s="84">
        <f>$I$22</f>
        <v/>
      </c>
      <c r="F54" s="84">
        <f>IF(OR(B54&gt;$I$21,B54&lt;$I$22),B54,NA())</f>
        <v/>
      </c>
    </row>
    <row r="55" ht="15" customHeight="1" s="56">
      <c r="A55" s="87">
        <f>P1_Data!A37</f>
        <v/>
      </c>
      <c r="B55" s="84">
        <f>P1_Data!M37</f>
        <v/>
      </c>
      <c r="C55" s="84">
        <f>$I$19</f>
        <v/>
      </c>
      <c r="D55" s="84">
        <f>$I$21</f>
        <v/>
      </c>
      <c r="E55" s="84">
        <f>$I$22</f>
        <v/>
      </c>
      <c r="F55" s="84">
        <f>IF(OR(B55&gt;$I$21,B55&lt;$I$22),B55,NA())</f>
        <v/>
      </c>
    </row>
    <row r="56" ht="15" customHeight="1" s="56">
      <c r="A56" s="87">
        <f>P1_Data!A38</f>
        <v/>
      </c>
      <c r="B56" s="84">
        <f>P1_Data!M38</f>
        <v/>
      </c>
      <c r="C56" s="84">
        <f>$I$19</f>
        <v/>
      </c>
      <c r="D56" s="84">
        <f>$I$21</f>
        <v/>
      </c>
      <c r="E56" s="84">
        <f>$I$22</f>
        <v/>
      </c>
      <c r="F56" s="84">
        <f>IF(OR(B56&gt;$I$21,B56&lt;$I$22),B56,NA())</f>
        <v/>
      </c>
      <c r="K56" s="61" t="inlineStr">
        <is>
          <t>Western Electric Rule Checks (np-chart basis)</t>
        </is>
      </c>
    </row>
    <row r="57" ht="15" customHeight="1" s="56">
      <c r="A57" s="87">
        <f>P1_Data!A39</f>
        <v/>
      </c>
      <c r="B57" s="84">
        <f>P1_Data!M39</f>
        <v/>
      </c>
      <c r="C57" s="84">
        <f>$I$19</f>
        <v/>
      </c>
      <c r="D57" s="84">
        <f>$I$21</f>
        <v/>
      </c>
      <c r="E57" s="84">
        <f>$I$22</f>
        <v/>
      </c>
      <c r="F57" s="84">
        <f>IF(OR(B57&gt;$I$21,B57&lt;$I$22),B57,NA())</f>
        <v/>
      </c>
      <c r="K57" s="64" t="inlineStr">
        <is>
          <t>Rule</t>
        </is>
      </c>
      <c r="L57" s="64" t="inlineStr">
        <is>
          <t>Description</t>
        </is>
      </c>
      <c r="M57" s="64" t="inlineStr">
        <is>
          <t>Triggered?</t>
        </is>
      </c>
    </row>
    <row r="58" ht="15" customHeight="1" s="56">
      <c r="A58" s="87">
        <f>P1_Data!A40</f>
        <v/>
      </c>
      <c r="B58" s="84">
        <f>P1_Data!M40</f>
        <v/>
      </c>
      <c r="C58" s="84">
        <f>$I$19</f>
        <v/>
      </c>
      <c r="D58" s="84">
        <f>$I$21</f>
        <v/>
      </c>
      <c r="E58" s="84">
        <f>$I$22</f>
        <v/>
      </c>
      <c r="F58" s="84">
        <f>IF(OR(B58&gt;$I$21,B58&lt;$I$22),B58,NA())</f>
        <v/>
      </c>
      <c r="K58" s="68" t="inlineStr">
        <is>
          <t>Rule 1</t>
        </is>
      </c>
      <c r="L58" s="68" t="inlineStr">
        <is>
          <t>1 point beyond 3σ</t>
        </is>
      </c>
      <c r="M58" s="68">
        <f>IF(COUNTIF(L9:L50,"&gt;"&amp;L3)&gt;0,"YES","No")</f>
        <v/>
      </c>
    </row>
    <row r="59" ht="15" customHeight="1" s="56">
      <c r="A59" s="87">
        <f>P1_Data!A41</f>
        <v/>
      </c>
      <c r="B59" s="84">
        <f>P1_Data!M41</f>
        <v/>
      </c>
      <c r="C59" s="84">
        <f>$I$19</f>
        <v/>
      </c>
      <c r="D59" s="84">
        <f>$I$21</f>
        <v/>
      </c>
      <c r="E59" s="84">
        <f>$I$22</f>
        <v/>
      </c>
      <c r="F59" s="84">
        <f>IF(OR(B59&gt;$I$21,B59&lt;$I$22),B59,NA())</f>
        <v/>
      </c>
      <c r="K59" s="68" t="inlineStr">
        <is>
          <t>Rule 2</t>
        </is>
      </c>
      <c r="L59" s="68" t="inlineStr">
        <is>
          <t>2 of 3 beyond 2σ same side</t>
        </is>
      </c>
      <c r="M59" s="68">
        <f>IF(SUMPRODUCT((L9:L50&gt;$L$5)*1)&gt;=2,"Check","No")</f>
        <v/>
      </c>
    </row>
    <row r="60" ht="15" customHeight="1" s="56">
      <c r="A60" s="87">
        <f>P1_Data!A42</f>
        <v/>
      </c>
      <c r="B60" s="84">
        <f>P1_Data!M42</f>
        <v/>
      </c>
      <c r="C60" s="84">
        <f>$I$19</f>
        <v/>
      </c>
      <c r="D60" s="84">
        <f>$I$21</f>
        <v/>
      </c>
      <c r="E60" s="84">
        <f>$I$22</f>
        <v/>
      </c>
      <c r="F60" s="84">
        <f>IF(OR(B60&gt;$I$21,B60&lt;$I$22),B60,NA())</f>
        <v/>
      </c>
      <c r="K60" s="68" t="inlineStr">
        <is>
          <t>Rule 3</t>
        </is>
      </c>
      <c r="L60" s="68" t="inlineStr">
        <is>
          <t>4 of 5 beyond 1σ same side</t>
        </is>
      </c>
      <c r="M60" s="68" t="inlineStr">
        <is>
          <t>Manual review</t>
        </is>
      </c>
    </row>
    <row r="61" ht="15" customHeight="1" s="56">
      <c r="A61" s="87">
        <f>P1_Data!A43</f>
        <v/>
      </c>
      <c r="B61" s="84">
        <f>P1_Data!M43</f>
        <v/>
      </c>
      <c r="C61" s="84">
        <f>$I$19</f>
        <v/>
      </c>
      <c r="D61" s="84">
        <f>$I$21</f>
        <v/>
      </c>
      <c r="E61" s="84">
        <f>$I$22</f>
        <v/>
      </c>
      <c r="F61" s="84">
        <f>IF(OR(B61&gt;$I$21,B61&lt;$I$22),B61,NA())</f>
        <v/>
      </c>
      <c r="K61" s="68" t="inlineStr">
        <is>
          <t>Rule 4</t>
        </is>
      </c>
      <c r="L61" s="68" t="inlineStr">
        <is>
          <t>8 consecutive one side of CL</t>
        </is>
      </c>
      <c r="M61" s="68">
        <f>IF(MAX(FREQUENCY(IF(L9:L50&gt;L2,ROW(L9:L50)),IF(L9:L50&lt;=L2,ROW(L9:L50))))&gt;=8,"YES","No")</f>
        <v/>
      </c>
    </row>
    <row r="62" ht="15" customHeight="1" s="56">
      <c r="A62" s="87">
        <f>P1_Data!A44</f>
        <v/>
      </c>
      <c r="B62" s="84">
        <f>P1_Data!M44</f>
        <v/>
      </c>
      <c r="C62" s="84">
        <f>$I$19</f>
        <v/>
      </c>
      <c r="D62" s="84">
        <f>$I$21</f>
        <v/>
      </c>
      <c r="E62" s="84">
        <f>$I$22</f>
        <v/>
      </c>
      <c r="F62" s="84">
        <f>IF(OR(B62&gt;$I$21,B62&lt;$I$22),B62,NA())</f>
        <v/>
      </c>
    </row>
    <row r="63" ht="15" customHeight="1" s="56">
      <c r="A63" s="87">
        <f>P1_Data!A45</f>
        <v/>
      </c>
      <c r="B63" s="84">
        <f>P1_Data!M45</f>
        <v/>
      </c>
      <c r="C63" s="84">
        <f>$I$19</f>
        <v/>
      </c>
      <c r="D63" s="84">
        <f>$I$21</f>
        <v/>
      </c>
      <c r="E63" s="84">
        <f>$I$22</f>
        <v/>
      </c>
      <c r="F63" s="84">
        <f>IF(OR(B63&gt;$I$21,B63&lt;$I$22),B63,NA())</f>
        <v/>
      </c>
      <c r="K63" s="60" t="inlineStr">
        <is>
          <t>Note: with n=5 the p-chart cannot trigger Rule 1; np-chart used as the sensitive attribute chart.</t>
        </is>
      </c>
    </row>
    <row r="64" ht="15" customHeight="1" s="56">
      <c r="A64" s="87">
        <f>P1_Data!A46</f>
        <v/>
      </c>
      <c r="B64" s="84">
        <f>P1_Data!M46</f>
        <v/>
      </c>
      <c r="C64" s="84">
        <f>$I$19</f>
        <v/>
      </c>
      <c r="D64" s="84">
        <f>$I$21</f>
        <v/>
      </c>
      <c r="E64" s="84">
        <f>$I$22</f>
        <v/>
      </c>
      <c r="F64" s="84">
        <f>IF(OR(B64&gt;$I$21,B64&lt;$I$22),B64,NA())</f>
        <v/>
      </c>
    </row>
    <row r="65" ht="15" customHeight="1" s="56">
      <c r="A65" s="87">
        <f>P1_Data!A47</f>
        <v/>
      </c>
      <c r="B65" s="84">
        <f>P1_Data!M47</f>
        <v/>
      </c>
      <c r="C65" s="84">
        <f>$I$19</f>
        <v/>
      </c>
      <c r="D65" s="84">
        <f>$I$21</f>
        <v/>
      </c>
      <c r="E65" s="84">
        <f>$I$22</f>
        <v/>
      </c>
      <c r="F65" s="84">
        <f>IF(OR(B65&gt;$I$21,B65&lt;$I$22),B65,NA())</f>
        <v/>
      </c>
    </row>
    <row r="66" ht="15" customHeight="1" s="56">
      <c r="A66" s="87">
        <f>P1_Data!A48</f>
        <v/>
      </c>
      <c r="B66" s="84">
        <f>P1_Data!M48</f>
        <v/>
      </c>
      <c r="C66" s="84">
        <f>$I$19</f>
        <v/>
      </c>
      <c r="D66" s="84">
        <f>$I$21</f>
        <v/>
      </c>
      <c r="E66" s="84">
        <f>$I$22</f>
        <v/>
      </c>
      <c r="F66" s="84">
        <f>IF(OR(B66&gt;$I$21,B66&lt;$I$22),B66,NA())</f>
        <v/>
      </c>
    </row>
    <row r="88" ht="15" customHeight="1" s="56">
      <c r="A88" s="61" t="inlineStr">
        <is>
          <t>Descriptive statistics &amp; interpretation</t>
        </is>
      </c>
    </row>
    <row r="89" ht="15" customHeight="1" s="56">
      <c r="A89" s="82" t="inlineStr">
        <is>
          <t>Samples</t>
        </is>
      </c>
      <c r="B89" s="84">
        <f>COUNT(P1_Data!A7:A48)</f>
        <v/>
      </c>
    </row>
    <row r="90" ht="15" customHeight="1" s="56">
      <c r="A90" s="82" t="inlineStr">
        <is>
          <t>Mean defects/sample</t>
        </is>
      </c>
      <c r="B90" s="84">
        <f>AVERAGE(P1_Data!K7:K48)</f>
        <v/>
      </c>
    </row>
    <row r="91" ht="15" customHeight="1" s="56">
      <c r="A91" s="82" t="inlineStr">
        <is>
          <t>St.dev defects</t>
        </is>
      </c>
      <c r="B91" s="84">
        <f>STDEV(P1_Data!K7:K48)</f>
        <v/>
      </c>
    </row>
    <row r="92" ht="15" customHeight="1" s="56">
      <c r="A92" s="82" t="inlineStr">
        <is>
          <t>Max p_i</t>
        </is>
      </c>
      <c r="B92" s="84">
        <f>MAX(B4:B45)</f>
        <v/>
      </c>
    </row>
    <row r="93" ht="15" customHeight="1" s="56">
      <c r="A93" s="82" t="inlineStr">
        <is>
          <t>Min p_i</t>
        </is>
      </c>
      <c r="B93" s="84">
        <f>MIN(B4:B45)</f>
        <v/>
      </c>
    </row>
    <row r="94" ht="15" customHeight="1" s="56">
      <c r="A94" s="82" t="inlineStr">
        <is>
          <t>p_bar Round 1</t>
        </is>
      </c>
      <c r="B94" s="84">
        <f>I5</f>
        <v/>
      </c>
    </row>
    <row r="95" ht="15" customHeight="1" s="56">
      <c r="A95" s="82" t="inlineStr">
        <is>
          <t>p_bar Round 2</t>
        </is>
      </c>
      <c r="B95" s="84">
        <f>I19</f>
        <v/>
      </c>
    </row>
    <row r="97" ht="15" customHeight="1" s="56">
      <c r="A97" s="63" t="inlineStr">
        <is>
          <t>Interpretation: In Round 1 the process centre line is p̄ ≈ 0.36, i.e. about 36% of inspected pieces are defective — extremely high. Light Blue and Green samples sit at p=0, well below the lower limit pattern, while White/Yellow/Red runs are near the top. Because whole colour blocks behave differently, the variation is not purely common-cause: colour (supplier/bin) is an assignable cause. Round 2 recalculates the limits after excluding points outside the Round-1 3σ band; the comparison of p̄ and limits between rounds shows how much those points distorted the baseline. The Pareto confirms White, Yellow and Red dominate defect contribution and should be targeted first.</t>
        </is>
      </c>
    </row>
    <row r="98" ht="15" customHeight="1" s="56"/>
    <row r="99" ht="15" customHeight="1" s="56"/>
    <row r="100" ht="15" customHeight="1" s="56"/>
    <row r="101" ht="15" customHeight="1" s="56"/>
    <row r="102" ht="15" customHeight="1" s="56"/>
    <row r="103" ht="15" customHeight="1" s="56"/>
    <row r="104" ht="15" customHeight="1" s="56"/>
    <row r="106" ht="15" customHeight="1" s="56">
      <c r="A106" s="95" t="inlineStr">
        <is>
          <t>Small-sample note: Because Process 1 uses a small sample size of n = 5, the p-chart limits are very wide. The 3-sigma limits are capped at 0 and 1, which reduces the chart’s sensitivity. Therefore, the np-chart, Pareto chart and colour-level defect analysis are used as supporting evidence for identifying assignable causes.</t>
        </is>
      </c>
    </row>
    <row r="107" ht="15" customHeight="1" s="56"/>
    <row r="108" ht="15" customHeight="1" s="56"/>
    <row r="109" ht="15" customHeight="1" s="56"/>
    <row r="110" ht="15" customHeight="1" s="56"/>
    <row r="111" ht="15" customHeight="1" s="56"/>
    <row r="112" ht="15" customHeight="1" s="56"/>
    <row r="113" ht="15" customHeight="1" s="56">
      <c r="A113" s="61" t="inlineStr">
        <is>
          <t>Assignable Cause Analysis — Process 1</t>
        </is>
      </c>
    </row>
    <row r="114" ht="113.25" customHeight="1" s="56">
      <c r="A114" s="85" t="inlineStr">
        <is>
          <t>Sample_or_Run</t>
        </is>
      </c>
      <c r="B114" s="85" t="inlineStr">
        <is>
          <t>Signal_Observed</t>
        </is>
      </c>
      <c r="C114" s="85" t="inlineStr">
        <is>
          <t>Possible_Assignable_Cause</t>
        </is>
      </c>
      <c r="D114" s="85" t="inlineStr">
        <is>
          <t>Evidence_From_Data</t>
        </is>
      </c>
      <c r="E114" s="85" t="inlineStr">
        <is>
          <t>Retain_or_Exclude</t>
        </is>
      </c>
      <c r="F114" s="85" t="inlineStr">
        <is>
          <t>Reason</t>
        </is>
      </c>
      <c r="G114" s="85" t="inlineStr">
        <is>
          <t>Recommended_Action</t>
        </is>
      </c>
    </row>
    <row r="115" ht="191.25" customHeight="1" s="56">
      <c r="A115" s="68" t="inlineStr">
        <is>
          <t>White block (13-18)</t>
        </is>
      </c>
      <c r="B115" s="68" t="inlineStr">
        <is>
          <t>All p_i high (0.6-0.8)</t>
        </is>
      </c>
      <c r="C115" s="68" t="inlineStr">
        <is>
          <t>Supplier-related defect concentration</t>
        </is>
      </c>
      <c r="D115" s="68" t="inlineStr">
        <is>
          <t>White=20 defects, highest Pareto contributor</t>
        </is>
      </c>
      <c r="E115" s="68" t="inlineStr">
        <is>
          <t>Retain</t>
        </is>
      </c>
      <c r="F115" s="68" t="inlineStr">
        <is>
          <t>Consistent pattern, not a one-off error; reflects true process</t>
        </is>
      </c>
      <c r="G115" s="68" t="inlineStr">
        <is>
          <t>Audit White-piece supplier / incoming QC</t>
        </is>
      </c>
    </row>
    <row r="116" ht="135.75" customHeight="1" s="56">
      <c r="A116" s="68" t="inlineStr">
        <is>
          <t>Light Blue (19-24)</t>
        </is>
      </c>
      <c r="B116" s="68" t="inlineStr">
        <is>
          <t>All p_i = 0</t>
        </is>
      </c>
      <c r="C116" s="68" t="inlineStr">
        <is>
          <t>Different supplier/bin or inspection focus change</t>
        </is>
      </c>
      <c r="D116" s="68" t="inlineStr">
        <is>
          <t>6 consecutive zero-defect samples</t>
        </is>
      </c>
      <c r="E116" s="68" t="inlineStr">
        <is>
          <t>Retain</t>
        </is>
      </c>
      <c r="F116" s="68" t="inlineStr">
        <is>
          <t>Genuine low-defect colour; informative, not an error</t>
        </is>
      </c>
      <c r="G116" s="68" t="inlineStr">
        <is>
          <t>Use as benchmark colour</t>
        </is>
      </c>
    </row>
    <row r="117" ht="68.25" customHeight="1" s="56">
      <c r="A117" s="68" t="inlineStr">
        <is>
          <t>Green (31-36)</t>
        </is>
      </c>
      <c r="B117" s="68" t="inlineStr">
        <is>
          <t>All p_i = 0</t>
        </is>
      </c>
      <c r="C117" s="68" t="inlineStr">
        <is>
          <t>Same as Light Blue</t>
        </is>
      </c>
      <c r="D117" s="68" t="inlineStr">
        <is>
          <t>6 consecutive zeros</t>
        </is>
      </c>
      <c r="E117" s="68" t="inlineStr">
        <is>
          <t>Retain</t>
        </is>
      </c>
      <c r="F117" s="68" t="inlineStr">
        <is>
          <t>Genuine</t>
        </is>
      </c>
      <c r="G117" s="68" t="inlineStr">
        <is>
          <t>Benchmark</t>
        </is>
      </c>
    </row>
    <row r="118" ht="147" customHeight="1" s="56">
      <c r="A118" s="68" t="inlineStr">
        <is>
          <t>Yellow/Red blocks</t>
        </is>
      </c>
      <c r="B118" s="68" t="inlineStr">
        <is>
          <t>Elevated p_i</t>
        </is>
      </c>
      <c r="C118" s="68" t="inlineStr">
        <is>
          <t>Colour focus change / supplier</t>
        </is>
      </c>
      <c r="D118" s="68" t="inlineStr">
        <is>
          <t>14 defects each</t>
        </is>
      </c>
      <c r="E118" s="68" t="inlineStr">
        <is>
          <t>Retain</t>
        </is>
      </c>
      <c r="F118" s="68" t="inlineStr">
        <is>
          <t>True variation</t>
        </is>
      </c>
      <c r="G118" s="68" t="inlineStr">
        <is>
          <t>Target in improvement plan</t>
        </is>
      </c>
    </row>
    <row r="119" ht="90.75" customHeight="1" s="56">
      <c r="A119" s="68" t="inlineStr">
        <is>
          <t>None</t>
        </is>
      </c>
      <c r="B119" s="68" t="inlineStr">
        <is>
          <t>No single 3σ outlier</t>
        </is>
      </c>
      <c r="C119" s="68" t="inlineStr">
        <is>
          <t>n=5 limits capped</t>
        </is>
      </c>
      <c r="D119" s="68" t="inlineStr">
        <is>
          <t>UCL=1,LCL=0</t>
        </is>
      </c>
      <c r="E119" s="68" t="inlineStr">
        <is>
          <t>N/A</t>
        </is>
      </c>
      <c r="F119" s="68" t="inlineStr">
        <is>
          <t>No defensible single-point exclusion exists</t>
        </is>
      </c>
      <c r="G119" s="68" t="inlineStr">
        <is>
          <t>Round 2 ≈ Round 1</t>
        </is>
      </c>
    </row>
    <row r="121" ht="15" customHeight="1" s="56">
      <c r="A121" s="63" t="inlineStr">
        <is>
          <t>Round 2 conclusion: No individual subgroup lies outside the (capped) 3σ p-chart limits, so there is no defensible single-point exclusion. Round 2 limits therefore equal Round 1 (p̄≈0.36). The real signal is the between-colour (assignable) variation identified via Pareto and the np-chart, not a rogue subgroup.</t>
        </is>
      </c>
    </row>
    <row r="122" ht="15" customHeight="1" s="56"/>
    <row r="123" ht="15" customHeight="1" s="56"/>
    <row r="124" ht="15" customHeight="1" s="56"/>
    <row r="125" ht="15" customHeight="1" s="56"/>
    <row r="145">
      <c r="A145" t="inlineStr">
        <is>
          <t>Caption: Histogram summarises defect-count distribution across 42 samples.</t>
        </is>
      </c>
      <c r="I145" t="inlineStr">
        <is>
          <t>Caption: np-chart is primary sensitive chart for n=5 fixed-size samples.</t>
        </is>
      </c>
    </row>
    <row r="165">
      <c r="A165" t="inlineStr">
        <is>
          <t>Caption: p-chart retained for proportion-defective reporting; limits are wide due to n=5.</t>
        </is>
      </c>
      <c r="I165" t="inlineStr">
        <is>
          <t>Caption: Pareto identifies highest-contributing defect colours and cumulative impact.</t>
        </is>
      </c>
    </row>
    <row r="167">
      <c r="A167" t="inlineStr">
        <is>
          <t>Note: p-chart sensitivity is limited because n=5 causes wide limits capped near 0 and 1.</t>
        </is>
      </c>
    </row>
  </sheetData>
  <mergeCells count="4">
    <mergeCell ref="A121:I125"/>
    <mergeCell ref="A97:I104"/>
    <mergeCell ref="K63:O64"/>
    <mergeCell ref="A106:I1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V39"/>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5" min="1" max="1"/>
    <col width="24" customWidth="1" style="55" min="2" max="2"/>
    <col width="7" customWidth="1" style="55" min="3" max="3"/>
    <col width="8" customWidth="1" style="55" min="4" max="4"/>
    <col width="9" customWidth="1" style="55" min="5" max="5"/>
    <col width="12" customWidth="1" style="55" min="6" max="8"/>
    <col width="14" customWidth="1" style="55" min="9" max="9"/>
    <col width="9" customWidth="1" style="55" min="10" max="10"/>
    <col width="11" customWidth="1" style="55" min="11" max="11"/>
    <col width="12" customWidth="1" style="55" min="12" max="13"/>
    <col width="7" customWidth="1" style="55" min="14" max="14"/>
    <col width="9" customWidth="1" style="55" min="15" max="15"/>
    <col width="22" customWidth="1" style="55" min="16" max="16"/>
    <col width="32" customWidth="1" style="55" min="17" max="17"/>
    <col width="20" customWidth="1" style="55" min="18" max="18"/>
    <col width="18" customWidth="1" style="55" min="19" max="19"/>
  </cols>
  <sheetData>
    <row r="1" ht="15.75" customHeight="1" s="56">
      <c r="A1" s="69" t="inlineStr">
        <is>
          <t>Process 2 — Assembly Run Data (colour-binned feed; first defect discards whole semi-assembly)</t>
        </is>
      </c>
    </row>
    <row r="2" ht="15" customHeight="1" s="56">
      <c r="A2" s="70" t="inlineStr">
        <is>
          <t>Provenance: Pieces_Before_Defect_g, Defect_Found and Opportunity values are from process 2.pdf notes (cleaned where handwriting was unclear). Defect_Colour is reconstructed from aggregate totals. Time_Band/Pick_Order/sequence/cause labels are reconstructed classifications. g=acceptable pieces before defect (higher=better). u_i=Defect/Opportunity.</t>
        </is>
      </c>
    </row>
    <row r="3" ht="15" customHeight="1" s="56"/>
    <row r="4" ht="15" customHeight="1" s="56"/>
    <row r="6" ht="42.75" customHeight="1" s="56">
      <c r="A6" s="71" t="inlineStr">
        <is>
          <t>Run_ID</t>
        </is>
      </c>
      <c r="B6" s="71" t="inlineStr">
        <is>
          <t>Data_Source_Type</t>
        </is>
      </c>
      <c r="C6" s="71" t="inlineStr">
        <is>
          <t>Phase</t>
        </is>
      </c>
      <c r="D6" s="71" t="inlineStr">
        <is>
          <t>Time_Band</t>
        </is>
      </c>
      <c r="E6" s="71" t="inlineStr">
        <is>
          <t>Pick_Order</t>
        </is>
      </c>
      <c r="F6" s="71" t="inlineStr">
        <is>
          <t>Colour_Sequence</t>
        </is>
      </c>
      <c r="G6" s="71" t="inlineStr">
        <is>
          <t>Defect_Colour</t>
        </is>
      </c>
      <c r="H6" s="71" t="inlineStr">
        <is>
          <t>Pieces_Before_Defect_g</t>
        </is>
      </c>
      <c r="I6" s="71" t="inlineStr">
        <is>
          <t>Pieces_Placed_Including_Defect</t>
        </is>
      </c>
      <c r="J6" s="71" t="inlineStr">
        <is>
          <t>Defect_Found_1_0</t>
        </is>
      </c>
      <c r="K6" s="71" t="inlineStr">
        <is>
          <t>Assembly_Discarded_1_0</t>
        </is>
      </c>
      <c r="L6" s="71" t="inlineStr">
        <is>
          <t>Completed_Assembly_1_0</t>
        </is>
      </c>
      <c r="M6" s="71" t="inlineStr">
        <is>
          <t>Opportunity_Count</t>
        </is>
      </c>
      <c r="N6" s="71" t="inlineStr">
        <is>
          <t>u_i</t>
        </is>
      </c>
      <c r="O6" s="71" t="inlineStr">
        <is>
          <t>Assignable_Cause_Flag</t>
        </is>
      </c>
      <c r="P6" s="71" t="inlineStr">
        <is>
          <t>Assignable_Cause_Category</t>
        </is>
      </c>
      <c r="Q6" s="71" t="inlineStr">
        <is>
          <t>Assignable_Cause_Description</t>
        </is>
      </c>
      <c r="R6" s="71" t="inlineStr">
        <is>
          <t>Operator_Comment</t>
        </is>
      </c>
      <c r="S6" s="71" t="inlineStr">
        <is>
          <t>Analysis_Use</t>
        </is>
      </c>
      <c r="T6" t="inlineStr">
        <is>
          <t>Raw_Value_Source</t>
        </is>
      </c>
      <c r="U6" t="inlineStr">
        <is>
          <t>Defect_Colour_Source</t>
        </is>
      </c>
      <c r="V6" t="inlineStr">
        <is>
          <t>Classification_Source</t>
        </is>
      </c>
    </row>
    <row r="7" ht="15" customHeight="1" s="56">
      <c r="A7" s="72" t="n">
        <v>1</v>
      </c>
      <c r="B7" s="73" t="inlineStr">
        <is>
          <t>Raw observed</t>
        </is>
      </c>
      <c r="C7" s="72" t="inlineStr">
        <is>
          <t>Phase 1</t>
        </is>
      </c>
      <c r="D7" s="74" t="inlineStr">
        <is>
          <t>Early</t>
        </is>
      </c>
      <c r="E7" s="74" t="inlineStr">
        <is>
          <t>4+1</t>
        </is>
      </c>
      <c r="F7" s="74" t="inlineStr">
        <is>
          <t>Mixed→Red</t>
        </is>
      </c>
      <c r="G7" s="74" t="inlineStr">
        <is>
          <t>Red</t>
        </is>
      </c>
      <c r="H7" s="73" t="n">
        <v>4</v>
      </c>
      <c r="I7" s="72">
        <f>H7+J7</f>
        <v/>
      </c>
      <c r="J7" s="73" t="n">
        <v>1</v>
      </c>
      <c r="K7" s="72" t="n">
        <v>1</v>
      </c>
      <c r="L7" s="72" t="n">
        <v>0</v>
      </c>
      <c r="M7" s="72">
        <f>I7</f>
        <v/>
      </c>
      <c r="N7" s="75">
        <f>J7/M7</f>
        <v/>
      </c>
      <c r="O7" s="72" t="n">
        <v>0</v>
      </c>
      <c r="P7" s="74" t="inlineStr">
        <is>
          <t>None</t>
        </is>
      </c>
      <c r="Q7" s="74" t="inlineStr">
        <is>
          <t>Defect encountered mid-assembly</t>
        </is>
      </c>
      <c r="R7" s="72" t="inlineStr">
        <is>
          <t>Routine discard</t>
        </is>
      </c>
      <c r="S7" s="72" t="inlineStr">
        <is>
          <t>g-chart + u-chart + Pareto</t>
        </is>
      </c>
      <c r="T7" t="inlineStr">
        <is>
          <t>process 2.pdf notes (cleaned from notes where unclear)</t>
        </is>
      </c>
      <c r="U7" t="inlineStr">
        <is>
          <t>Reconstructed from aggregate colour totals</t>
        </is>
      </c>
      <c r="V7" t="inlineStr">
        <is>
          <t>Reconstructed classification</t>
        </is>
      </c>
    </row>
    <row r="8" ht="15" customHeight="1" s="56">
      <c r="A8" s="72" t="n">
        <v>2</v>
      </c>
      <c r="B8" s="73" t="inlineStr">
        <is>
          <t>Raw observed</t>
        </is>
      </c>
      <c r="C8" s="72" t="inlineStr">
        <is>
          <t>Phase 1</t>
        </is>
      </c>
      <c r="D8" s="74" t="inlineStr">
        <is>
          <t>Early</t>
        </is>
      </c>
      <c r="E8" s="74" t="inlineStr">
        <is>
          <t>3+1</t>
        </is>
      </c>
      <c r="F8" s="74" t="inlineStr">
        <is>
          <t>Mixed→Orange</t>
        </is>
      </c>
      <c r="G8" s="74" t="inlineStr">
        <is>
          <t>Orange</t>
        </is>
      </c>
      <c r="H8" s="73" t="n">
        <v>3</v>
      </c>
      <c r="I8" s="72">
        <f>H8+J8</f>
        <v/>
      </c>
      <c r="J8" s="73" t="n">
        <v>1</v>
      </c>
      <c r="K8" s="72" t="n">
        <v>1</v>
      </c>
      <c r="L8" s="72" t="n">
        <v>0</v>
      </c>
      <c r="M8" s="72">
        <f>I8</f>
        <v/>
      </c>
      <c r="N8" s="75">
        <f>J8/M8</f>
        <v/>
      </c>
      <c r="O8" s="76" t="n">
        <v>1</v>
      </c>
      <c r="P8" s="76" t="inlineStr">
        <is>
          <t>High-defect colour reached early</t>
        </is>
      </c>
      <c r="Q8" s="74" t="inlineStr">
        <is>
          <t>Orange (high-defect colour) picked at position 4, early discard</t>
        </is>
      </c>
      <c r="R8" s="72" t="inlineStr">
        <is>
          <t>Early high-defect-colour discard</t>
        </is>
      </c>
      <c r="S8" s="72" t="inlineStr">
        <is>
          <t>g-chart + u-chart + Pareto</t>
        </is>
      </c>
      <c r="T8" t="inlineStr">
        <is>
          <t>process 2.pdf notes (cleaned from notes where unclear)</t>
        </is>
      </c>
      <c r="U8" t="inlineStr">
        <is>
          <t>Reconstructed from aggregate colour totals</t>
        </is>
      </c>
      <c r="V8" t="inlineStr">
        <is>
          <t>Reconstructed classification</t>
        </is>
      </c>
    </row>
    <row r="9" ht="15" customHeight="1" s="56">
      <c r="A9" s="72" t="n">
        <v>3</v>
      </c>
      <c r="B9" s="73" t="inlineStr">
        <is>
          <t>Raw observed</t>
        </is>
      </c>
      <c r="C9" s="72" t="inlineStr">
        <is>
          <t>Phase 1</t>
        </is>
      </c>
      <c r="D9" s="74" t="inlineStr">
        <is>
          <t>Early</t>
        </is>
      </c>
      <c r="E9" s="74" t="inlineStr">
        <is>
          <t>3+1</t>
        </is>
      </c>
      <c r="F9" s="74" t="inlineStr">
        <is>
          <t>Mixed→Orange</t>
        </is>
      </c>
      <c r="G9" s="74" t="inlineStr">
        <is>
          <t>Orange</t>
        </is>
      </c>
      <c r="H9" s="73" t="n">
        <v>3</v>
      </c>
      <c r="I9" s="72">
        <f>H9+J9</f>
        <v/>
      </c>
      <c r="J9" s="73" t="n">
        <v>1</v>
      </c>
      <c r="K9" s="72" t="n">
        <v>1</v>
      </c>
      <c r="L9" s="72" t="n">
        <v>0</v>
      </c>
      <c r="M9" s="72">
        <f>I9</f>
        <v/>
      </c>
      <c r="N9" s="75">
        <f>J9/M9</f>
        <v/>
      </c>
      <c r="O9" s="76" t="n">
        <v>1</v>
      </c>
      <c r="P9" s="76" t="inlineStr">
        <is>
          <t>High-defect colour reached early</t>
        </is>
      </c>
      <c r="Q9" s="74" t="inlineStr">
        <is>
          <t>Orange (high-defect colour) picked at position 4, early discard</t>
        </is>
      </c>
      <c r="R9" s="72" t="inlineStr">
        <is>
          <t>Early high-defect-colour discard</t>
        </is>
      </c>
      <c r="S9" s="72" t="inlineStr">
        <is>
          <t>g-chart + u-chart + Pareto</t>
        </is>
      </c>
      <c r="T9" t="inlineStr">
        <is>
          <t>process 2.pdf notes (cleaned from notes where unclear)</t>
        </is>
      </c>
      <c r="U9" t="inlineStr">
        <is>
          <t>Reconstructed from aggregate colour totals</t>
        </is>
      </c>
      <c r="V9" t="inlineStr">
        <is>
          <t>Reconstructed classification</t>
        </is>
      </c>
    </row>
    <row r="10" ht="15" customHeight="1" s="56">
      <c r="A10" s="72" t="n">
        <v>4</v>
      </c>
      <c r="B10" s="73" t="inlineStr">
        <is>
          <t>Raw observed</t>
        </is>
      </c>
      <c r="C10" s="72" t="inlineStr">
        <is>
          <t>Phase 1</t>
        </is>
      </c>
      <c r="D10" s="74" t="inlineStr">
        <is>
          <t>Early</t>
        </is>
      </c>
      <c r="E10" s="74" t="inlineStr">
        <is>
          <t>3+1</t>
        </is>
      </c>
      <c r="F10" s="74" t="inlineStr">
        <is>
          <t>Mixed→Orange</t>
        </is>
      </c>
      <c r="G10" s="74" t="inlineStr">
        <is>
          <t>Orange</t>
        </is>
      </c>
      <c r="H10" s="73" t="n">
        <v>3</v>
      </c>
      <c r="I10" s="72">
        <f>H10+J10</f>
        <v/>
      </c>
      <c r="J10" s="73" t="n">
        <v>1</v>
      </c>
      <c r="K10" s="72" t="n">
        <v>1</v>
      </c>
      <c r="L10" s="72" t="n">
        <v>0</v>
      </c>
      <c r="M10" s="72">
        <f>I10</f>
        <v/>
      </c>
      <c r="N10" s="75">
        <f>J10/M10</f>
        <v/>
      </c>
      <c r="O10" s="76" t="n">
        <v>1</v>
      </c>
      <c r="P10" s="76" t="inlineStr">
        <is>
          <t>High-defect colour reached early</t>
        </is>
      </c>
      <c r="Q10" s="74" t="inlineStr">
        <is>
          <t>Orange (high-defect colour) picked at position 4, early discard</t>
        </is>
      </c>
      <c r="R10" s="72" t="inlineStr">
        <is>
          <t>Early high-defect-colour discard</t>
        </is>
      </c>
      <c r="S10" s="72" t="inlineStr">
        <is>
          <t>g-chart + u-chart + Pareto</t>
        </is>
      </c>
      <c r="T10" t="inlineStr">
        <is>
          <t>process 2.pdf notes (cleaned from notes where unclear)</t>
        </is>
      </c>
      <c r="U10" t="inlineStr">
        <is>
          <t>Reconstructed from aggregate colour totals</t>
        </is>
      </c>
      <c r="V10" t="inlineStr">
        <is>
          <t>Reconstructed classification</t>
        </is>
      </c>
    </row>
    <row r="11" ht="15" customHeight="1" s="56">
      <c r="A11" s="72" t="n">
        <v>5</v>
      </c>
      <c r="B11" s="73" t="inlineStr">
        <is>
          <t>Raw observed</t>
        </is>
      </c>
      <c r="C11" s="72" t="inlineStr">
        <is>
          <t>Phase 1</t>
        </is>
      </c>
      <c r="D11" s="74" t="inlineStr">
        <is>
          <t>Early</t>
        </is>
      </c>
      <c r="E11" s="74" t="inlineStr">
        <is>
          <t>4+1</t>
        </is>
      </c>
      <c r="F11" s="74" t="inlineStr">
        <is>
          <t>Mixed→Red</t>
        </is>
      </c>
      <c r="G11" s="74" t="inlineStr">
        <is>
          <t>Red</t>
        </is>
      </c>
      <c r="H11" s="73" t="n">
        <v>4</v>
      </c>
      <c r="I11" s="72">
        <f>H11+J11</f>
        <v/>
      </c>
      <c r="J11" s="73" t="n">
        <v>1</v>
      </c>
      <c r="K11" s="72" t="n">
        <v>1</v>
      </c>
      <c r="L11" s="72" t="n">
        <v>0</v>
      </c>
      <c r="M11" s="72">
        <f>I11</f>
        <v/>
      </c>
      <c r="N11" s="75">
        <f>J11/M11</f>
        <v/>
      </c>
      <c r="O11" s="72" t="n">
        <v>0</v>
      </c>
      <c r="P11" s="74" t="inlineStr">
        <is>
          <t>None</t>
        </is>
      </c>
      <c r="Q11" s="74" t="inlineStr">
        <is>
          <t>Defect encountered mid-assembly</t>
        </is>
      </c>
      <c r="R11" s="72" t="inlineStr">
        <is>
          <t>Routine discard</t>
        </is>
      </c>
      <c r="S11" s="72" t="inlineStr">
        <is>
          <t>g-chart + u-chart + Pareto</t>
        </is>
      </c>
      <c r="T11" t="inlineStr">
        <is>
          <t>process 2.pdf notes (cleaned from notes where unclear)</t>
        </is>
      </c>
      <c r="U11" t="inlineStr">
        <is>
          <t>Reconstructed from aggregate colour totals</t>
        </is>
      </c>
      <c r="V11" t="inlineStr">
        <is>
          <t>Reconstructed classification</t>
        </is>
      </c>
    </row>
    <row r="12" ht="15" customHeight="1" s="56">
      <c r="A12" s="72" t="n">
        <v>6</v>
      </c>
      <c r="B12" s="73" t="inlineStr">
        <is>
          <t>Raw observed</t>
        </is>
      </c>
      <c r="C12" s="72" t="inlineStr">
        <is>
          <t>Phase 1</t>
        </is>
      </c>
      <c r="D12" s="74" t="inlineStr">
        <is>
          <t>Early</t>
        </is>
      </c>
      <c r="E12" s="74" t="inlineStr">
        <is>
          <t>3+1</t>
        </is>
      </c>
      <c r="F12" s="74" t="inlineStr">
        <is>
          <t>Mixed→Orange</t>
        </is>
      </c>
      <c r="G12" s="74" t="inlineStr">
        <is>
          <t>Orange</t>
        </is>
      </c>
      <c r="H12" s="73" t="n">
        <v>3</v>
      </c>
      <c r="I12" s="72">
        <f>H12+J12</f>
        <v/>
      </c>
      <c r="J12" s="73" t="n">
        <v>1</v>
      </c>
      <c r="K12" s="72" t="n">
        <v>1</v>
      </c>
      <c r="L12" s="72" t="n">
        <v>0</v>
      </c>
      <c r="M12" s="72">
        <f>I12</f>
        <v/>
      </c>
      <c r="N12" s="75">
        <f>J12/M12</f>
        <v/>
      </c>
      <c r="O12" s="76" t="n">
        <v>1</v>
      </c>
      <c r="P12" s="76" t="inlineStr">
        <is>
          <t>High-defect colour reached early</t>
        </is>
      </c>
      <c r="Q12" s="74" t="inlineStr">
        <is>
          <t>Orange (high-defect colour) picked at position 4, early discard</t>
        </is>
      </c>
      <c r="R12" s="72" t="inlineStr">
        <is>
          <t>Early high-defect-colour discard</t>
        </is>
      </c>
      <c r="S12" s="72" t="inlineStr">
        <is>
          <t>g-chart + u-chart + Pareto</t>
        </is>
      </c>
      <c r="T12" t="inlineStr">
        <is>
          <t>process 2.pdf notes (cleaned from notes where unclear)</t>
        </is>
      </c>
      <c r="U12" t="inlineStr">
        <is>
          <t>Reconstructed from aggregate colour totals</t>
        </is>
      </c>
      <c r="V12" t="inlineStr">
        <is>
          <t>Reconstructed classification</t>
        </is>
      </c>
    </row>
    <row r="13" ht="15" customHeight="1" s="56">
      <c r="A13" s="72" t="n">
        <v>7</v>
      </c>
      <c r="B13" s="73" t="inlineStr">
        <is>
          <t>Raw observed</t>
        </is>
      </c>
      <c r="C13" s="72" t="inlineStr">
        <is>
          <t>Phase 1</t>
        </is>
      </c>
      <c r="D13" s="74" t="inlineStr">
        <is>
          <t>Early</t>
        </is>
      </c>
      <c r="E13" s="74" t="inlineStr">
        <is>
          <t>6+1</t>
        </is>
      </c>
      <c r="F13" s="74" t="inlineStr">
        <is>
          <t>Mixed→Dark Blue</t>
        </is>
      </c>
      <c r="G13" s="74" t="inlineStr">
        <is>
          <t>Dark Blue</t>
        </is>
      </c>
      <c r="H13" s="73" t="n">
        <v>6</v>
      </c>
      <c r="I13" s="72">
        <f>H13+J13</f>
        <v/>
      </c>
      <c r="J13" s="73" t="n">
        <v>1</v>
      </c>
      <c r="K13" s="72" t="n">
        <v>1</v>
      </c>
      <c r="L13" s="72" t="n">
        <v>0</v>
      </c>
      <c r="M13" s="72">
        <f>I13</f>
        <v/>
      </c>
      <c r="N13" s="75">
        <f>J13/M13</f>
        <v/>
      </c>
      <c r="O13" s="72" t="n">
        <v>0</v>
      </c>
      <c r="P13" s="74" t="inlineStr">
        <is>
          <t>None</t>
        </is>
      </c>
      <c r="Q13" s="74" t="inlineStr">
        <is>
          <t>Defect encountered mid-assembly</t>
        </is>
      </c>
      <c r="R13" s="72" t="inlineStr">
        <is>
          <t>Routine discard</t>
        </is>
      </c>
      <c r="S13" s="72" t="inlineStr">
        <is>
          <t>g-chart + u-chart + Pareto</t>
        </is>
      </c>
      <c r="T13" t="inlineStr">
        <is>
          <t>process 2.pdf notes (cleaned from notes where unclear)</t>
        </is>
      </c>
      <c r="U13" t="inlineStr">
        <is>
          <t>Reconstructed from aggregate colour totals</t>
        </is>
      </c>
      <c r="V13" t="inlineStr">
        <is>
          <t>Reconstructed classification</t>
        </is>
      </c>
    </row>
    <row r="14" ht="15" customHeight="1" s="56">
      <c r="A14" s="72" t="n">
        <v>8</v>
      </c>
      <c r="B14" s="73" t="inlineStr">
        <is>
          <t>Raw observed</t>
        </is>
      </c>
      <c r="C14" s="72" t="inlineStr">
        <is>
          <t>Phase 1</t>
        </is>
      </c>
      <c r="D14" s="74" t="inlineStr">
        <is>
          <t>Early</t>
        </is>
      </c>
      <c r="E14" s="74" t="inlineStr">
        <is>
          <t>5+1</t>
        </is>
      </c>
      <c r="F14" s="74" t="inlineStr">
        <is>
          <t>Mixed→Yellow</t>
        </is>
      </c>
      <c r="G14" s="74" t="inlineStr">
        <is>
          <t>Yellow</t>
        </is>
      </c>
      <c r="H14" s="73" t="n">
        <v>5</v>
      </c>
      <c r="I14" s="72">
        <f>H14+J14</f>
        <v/>
      </c>
      <c r="J14" s="73" t="n">
        <v>1</v>
      </c>
      <c r="K14" s="72" t="n">
        <v>1</v>
      </c>
      <c r="L14" s="72" t="n">
        <v>0</v>
      </c>
      <c r="M14" s="72">
        <f>I14</f>
        <v/>
      </c>
      <c r="N14" s="75">
        <f>J14/M14</f>
        <v/>
      </c>
      <c r="O14" s="72" t="n">
        <v>0</v>
      </c>
      <c r="P14" s="74" t="inlineStr">
        <is>
          <t>None</t>
        </is>
      </c>
      <c r="Q14" s="74" t="inlineStr">
        <is>
          <t>Defect encountered mid-assembly</t>
        </is>
      </c>
      <c r="R14" s="72" t="inlineStr">
        <is>
          <t>Routine discard</t>
        </is>
      </c>
      <c r="S14" s="72" t="inlineStr">
        <is>
          <t>g-chart + u-chart + Pareto</t>
        </is>
      </c>
      <c r="T14" t="inlineStr">
        <is>
          <t>process 2.pdf notes (cleaned from notes where unclear)</t>
        </is>
      </c>
      <c r="U14" t="inlineStr">
        <is>
          <t>Reconstructed from aggregate colour totals</t>
        </is>
      </c>
      <c r="V14" t="inlineStr">
        <is>
          <t>Reconstructed classification</t>
        </is>
      </c>
    </row>
    <row r="15" ht="15" customHeight="1" s="56">
      <c r="A15" s="72" t="n">
        <v>9</v>
      </c>
      <c r="B15" s="73" t="inlineStr">
        <is>
          <t>Raw observed</t>
        </is>
      </c>
      <c r="C15" s="72" t="inlineStr">
        <is>
          <t>Phase 1</t>
        </is>
      </c>
      <c r="D15" s="74" t="inlineStr">
        <is>
          <t>Early</t>
        </is>
      </c>
      <c r="E15" s="74" t="inlineStr">
        <is>
          <t>4+1</t>
        </is>
      </c>
      <c r="F15" s="74" t="inlineStr">
        <is>
          <t>Mixed→Red</t>
        </is>
      </c>
      <c r="G15" s="74" t="inlineStr">
        <is>
          <t>Red</t>
        </is>
      </c>
      <c r="H15" s="73" t="n">
        <v>4</v>
      </c>
      <c r="I15" s="72">
        <f>H15+J15</f>
        <v/>
      </c>
      <c r="J15" s="73" t="n">
        <v>1</v>
      </c>
      <c r="K15" s="72" t="n">
        <v>1</v>
      </c>
      <c r="L15" s="72" t="n">
        <v>0</v>
      </c>
      <c r="M15" s="72">
        <f>I15</f>
        <v/>
      </c>
      <c r="N15" s="75">
        <f>J15/M15</f>
        <v/>
      </c>
      <c r="O15" s="72" t="n">
        <v>0</v>
      </c>
      <c r="P15" s="74" t="inlineStr">
        <is>
          <t>None</t>
        </is>
      </c>
      <c r="Q15" s="74" t="inlineStr">
        <is>
          <t>Defect encountered mid-assembly</t>
        </is>
      </c>
      <c r="R15" s="72" t="inlineStr">
        <is>
          <t>Routine discard</t>
        </is>
      </c>
      <c r="S15" s="72" t="inlineStr">
        <is>
          <t>g-chart + u-chart + Pareto</t>
        </is>
      </c>
      <c r="T15" t="inlineStr">
        <is>
          <t>process 2.pdf notes (cleaned from notes where unclear)</t>
        </is>
      </c>
      <c r="U15" t="inlineStr">
        <is>
          <t>Reconstructed from aggregate colour totals</t>
        </is>
      </c>
      <c r="V15" t="inlineStr">
        <is>
          <t>Reconstructed classification</t>
        </is>
      </c>
    </row>
    <row r="16" ht="15" customHeight="1" s="56">
      <c r="A16" s="72" t="n">
        <v>10</v>
      </c>
      <c r="B16" s="73" t="inlineStr">
        <is>
          <t>Raw observed</t>
        </is>
      </c>
      <c r="C16" s="72" t="inlineStr">
        <is>
          <t>Phase 1</t>
        </is>
      </c>
      <c r="D16" s="74" t="inlineStr">
        <is>
          <t>Early</t>
        </is>
      </c>
      <c r="E16" s="74" t="inlineStr">
        <is>
          <t>4+1</t>
        </is>
      </c>
      <c r="F16" s="74" t="inlineStr">
        <is>
          <t>Mixed→Red</t>
        </is>
      </c>
      <c r="G16" s="74" t="inlineStr">
        <is>
          <t>Red</t>
        </is>
      </c>
      <c r="H16" s="73" t="n">
        <v>4</v>
      </c>
      <c r="I16" s="72">
        <f>H16+J16</f>
        <v/>
      </c>
      <c r="J16" s="73" t="n">
        <v>1</v>
      </c>
      <c r="K16" s="72" t="n">
        <v>1</v>
      </c>
      <c r="L16" s="72" t="n">
        <v>0</v>
      </c>
      <c r="M16" s="72">
        <f>I16</f>
        <v/>
      </c>
      <c r="N16" s="75">
        <f>J16/M16</f>
        <v/>
      </c>
      <c r="O16" s="72" t="n">
        <v>0</v>
      </c>
      <c r="P16" s="74" t="inlineStr">
        <is>
          <t>None</t>
        </is>
      </c>
      <c r="Q16" s="74" t="inlineStr">
        <is>
          <t>Defect encountered mid-assembly</t>
        </is>
      </c>
      <c r="R16" s="72" t="inlineStr">
        <is>
          <t>Routine discard</t>
        </is>
      </c>
      <c r="S16" s="72" t="inlineStr">
        <is>
          <t>g-chart + u-chart + Pareto</t>
        </is>
      </c>
      <c r="T16" t="inlineStr">
        <is>
          <t>process 2.pdf notes (cleaned from notes where unclear)</t>
        </is>
      </c>
      <c r="U16" t="inlineStr">
        <is>
          <t>Reconstructed from aggregate colour totals</t>
        </is>
      </c>
      <c r="V16" t="inlineStr">
        <is>
          <t>Reconstructed classification</t>
        </is>
      </c>
    </row>
    <row r="17" ht="15" customHeight="1" s="56">
      <c r="A17" s="72" t="n">
        <v>11</v>
      </c>
      <c r="B17" s="73" t="inlineStr">
        <is>
          <t>Raw observed</t>
        </is>
      </c>
      <c r="C17" s="72" t="inlineStr">
        <is>
          <t>Phase 1</t>
        </is>
      </c>
      <c r="D17" s="74" t="inlineStr">
        <is>
          <t>Middle</t>
        </is>
      </c>
      <c r="E17" s="74" t="inlineStr">
        <is>
          <t>5+1</t>
        </is>
      </c>
      <c r="F17" s="74" t="inlineStr">
        <is>
          <t>Mixed→Yellow</t>
        </is>
      </c>
      <c r="G17" s="74" t="inlineStr">
        <is>
          <t>Yellow</t>
        </is>
      </c>
      <c r="H17" s="73" t="n">
        <v>5</v>
      </c>
      <c r="I17" s="72">
        <f>H17+J17</f>
        <v/>
      </c>
      <c r="J17" s="73" t="n">
        <v>1</v>
      </c>
      <c r="K17" s="72" t="n">
        <v>1</v>
      </c>
      <c r="L17" s="72" t="n">
        <v>0</v>
      </c>
      <c r="M17" s="72">
        <f>I17</f>
        <v/>
      </c>
      <c r="N17" s="75">
        <f>J17/M17</f>
        <v/>
      </c>
      <c r="O17" s="72" t="n">
        <v>0</v>
      </c>
      <c r="P17" s="74" t="inlineStr">
        <is>
          <t>None</t>
        </is>
      </c>
      <c r="Q17" s="74" t="inlineStr">
        <is>
          <t>Defect encountered mid-assembly</t>
        </is>
      </c>
      <c r="R17" s="72" t="inlineStr">
        <is>
          <t>Routine discard</t>
        </is>
      </c>
      <c r="S17" s="72" t="inlineStr">
        <is>
          <t>g-chart + u-chart + Pareto</t>
        </is>
      </c>
      <c r="T17" t="inlineStr">
        <is>
          <t>process 2.pdf notes (cleaned from notes where unclear)</t>
        </is>
      </c>
      <c r="U17" t="inlineStr">
        <is>
          <t>Reconstructed from aggregate colour totals</t>
        </is>
      </c>
      <c r="V17" t="inlineStr">
        <is>
          <t>Reconstructed classification</t>
        </is>
      </c>
    </row>
    <row r="18" ht="15" customHeight="1" s="56">
      <c r="A18" s="72" t="n">
        <v>12</v>
      </c>
      <c r="B18" s="73" t="inlineStr">
        <is>
          <t>Raw observed</t>
        </is>
      </c>
      <c r="C18" s="72" t="inlineStr">
        <is>
          <t>Phase 1</t>
        </is>
      </c>
      <c r="D18" s="74" t="inlineStr">
        <is>
          <t>Middle</t>
        </is>
      </c>
      <c r="E18" s="74" t="inlineStr">
        <is>
          <t>3+1</t>
        </is>
      </c>
      <c r="F18" s="74" t="inlineStr">
        <is>
          <t>Mixed→Orange</t>
        </is>
      </c>
      <c r="G18" s="74" t="inlineStr">
        <is>
          <t>Orange</t>
        </is>
      </c>
      <c r="H18" s="73" t="n">
        <v>3</v>
      </c>
      <c r="I18" s="72">
        <f>H18+J18</f>
        <v/>
      </c>
      <c r="J18" s="73" t="n">
        <v>1</v>
      </c>
      <c r="K18" s="72" t="n">
        <v>1</v>
      </c>
      <c r="L18" s="72" t="n">
        <v>0</v>
      </c>
      <c r="M18" s="72">
        <f>I18</f>
        <v/>
      </c>
      <c r="N18" s="75">
        <f>J18/M18</f>
        <v/>
      </c>
      <c r="O18" s="76" t="n">
        <v>1</v>
      </c>
      <c r="P18" s="76" t="inlineStr">
        <is>
          <t>High-defect colour reached early</t>
        </is>
      </c>
      <c r="Q18" s="74" t="inlineStr">
        <is>
          <t>Orange (high-defect colour) picked at position 4, early discard</t>
        </is>
      </c>
      <c r="R18" s="72" t="inlineStr">
        <is>
          <t>Early high-defect-colour discard</t>
        </is>
      </c>
      <c r="S18" s="72" t="inlineStr">
        <is>
          <t>g-chart + u-chart + Pareto</t>
        </is>
      </c>
      <c r="T18" t="inlineStr">
        <is>
          <t>process 2.pdf notes (cleaned from notes where unclear)</t>
        </is>
      </c>
      <c r="U18" t="inlineStr">
        <is>
          <t>Reconstructed from aggregate colour totals</t>
        </is>
      </c>
      <c r="V18" t="inlineStr">
        <is>
          <t>Reconstructed classification</t>
        </is>
      </c>
    </row>
    <row r="19" ht="15" customHeight="1" s="56">
      <c r="A19" s="72" t="n">
        <v>13</v>
      </c>
      <c r="B19" s="73" t="inlineStr">
        <is>
          <t>Raw observed</t>
        </is>
      </c>
      <c r="C19" s="72" t="inlineStr">
        <is>
          <t>Phase 1</t>
        </is>
      </c>
      <c r="D19" s="74" t="inlineStr">
        <is>
          <t>Middle</t>
        </is>
      </c>
      <c r="E19" s="74" t="inlineStr">
        <is>
          <t>6+1</t>
        </is>
      </c>
      <c r="F19" s="74" t="inlineStr">
        <is>
          <t>Mixed→Dark Blue</t>
        </is>
      </c>
      <c r="G19" s="74" t="inlineStr">
        <is>
          <t>Dark Blue</t>
        </is>
      </c>
      <c r="H19" s="73" t="n">
        <v>6</v>
      </c>
      <c r="I19" s="72">
        <f>H19+J19</f>
        <v/>
      </c>
      <c r="J19" s="73" t="n">
        <v>1</v>
      </c>
      <c r="K19" s="72" t="n">
        <v>1</v>
      </c>
      <c r="L19" s="72" t="n">
        <v>0</v>
      </c>
      <c r="M19" s="72">
        <f>I19</f>
        <v/>
      </c>
      <c r="N19" s="75">
        <f>J19/M19</f>
        <v/>
      </c>
      <c r="O19" s="72" t="n">
        <v>0</v>
      </c>
      <c r="P19" s="74" t="inlineStr">
        <is>
          <t>None</t>
        </is>
      </c>
      <c r="Q19" s="74" t="inlineStr">
        <is>
          <t>Defect encountered mid-assembly</t>
        </is>
      </c>
      <c r="R19" s="72" t="inlineStr">
        <is>
          <t>Routine discard</t>
        </is>
      </c>
      <c r="S19" s="72" t="inlineStr">
        <is>
          <t>g-chart + u-chart + Pareto</t>
        </is>
      </c>
      <c r="T19" t="inlineStr">
        <is>
          <t>process 2.pdf notes (cleaned from notes where unclear)</t>
        </is>
      </c>
      <c r="U19" t="inlineStr">
        <is>
          <t>Reconstructed from aggregate colour totals</t>
        </is>
      </c>
      <c r="V19" t="inlineStr">
        <is>
          <t>Reconstructed classification</t>
        </is>
      </c>
    </row>
    <row r="20" ht="15" customHeight="1" s="56">
      <c r="A20" s="72" t="n">
        <v>14</v>
      </c>
      <c r="B20" s="73" t="inlineStr">
        <is>
          <t>Raw observed</t>
        </is>
      </c>
      <c r="C20" s="72" t="inlineStr">
        <is>
          <t>Phase 1</t>
        </is>
      </c>
      <c r="D20" s="74" t="inlineStr">
        <is>
          <t>Middle</t>
        </is>
      </c>
      <c r="E20" s="74" t="inlineStr">
        <is>
          <t>5+1</t>
        </is>
      </c>
      <c r="F20" s="74" t="inlineStr">
        <is>
          <t>Mixed→Yellow</t>
        </is>
      </c>
      <c r="G20" s="74" t="inlineStr">
        <is>
          <t>Yellow</t>
        </is>
      </c>
      <c r="H20" s="73" t="n">
        <v>5</v>
      </c>
      <c r="I20" s="72">
        <f>H20+J20</f>
        <v/>
      </c>
      <c r="J20" s="73" t="n">
        <v>1</v>
      </c>
      <c r="K20" s="72" t="n">
        <v>1</v>
      </c>
      <c r="L20" s="72" t="n">
        <v>0</v>
      </c>
      <c r="M20" s="72">
        <f>I20</f>
        <v/>
      </c>
      <c r="N20" s="75">
        <f>J20/M20</f>
        <v/>
      </c>
      <c r="O20" s="72" t="n">
        <v>0</v>
      </c>
      <c r="P20" s="74" t="inlineStr">
        <is>
          <t>None</t>
        </is>
      </c>
      <c r="Q20" s="74" t="inlineStr">
        <is>
          <t>Defect encountered mid-assembly</t>
        </is>
      </c>
      <c r="R20" s="72" t="inlineStr">
        <is>
          <t>Routine discard</t>
        </is>
      </c>
      <c r="S20" s="72" t="inlineStr">
        <is>
          <t>g-chart + u-chart + Pareto</t>
        </is>
      </c>
      <c r="T20" t="inlineStr">
        <is>
          <t>process 2.pdf notes (cleaned from notes where unclear)</t>
        </is>
      </c>
      <c r="U20" t="inlineStr">
        <is>
          <t>Reconstructed from aggregate colour totals</t>
        </is>
      </c>
      <c r="V20" t="inlineStr">
        <is>
          <t>Reconstructed classification</t>
        </is>
      </c>
    </row>
    <row r="21" ht="15" customHeight="1" s="56">
      <c r="A21" s="72" t="n">
        <v>15</v>
      </c>
      <c r="B21" s="73" t="inlineStr">
        <is>
          <t>Raw observed</t>
        </is>
      </c>
      <c r="C21" s="72" t="inlineStr">
        <is>
          <t>Phase 1</t>
        </is>
      </c>
      <c r="D21" s="74" t="inlineStr">
        <is>
          <t>Middle</t>
        </is>
      </c>
      <c r="E21" s="74" t="inlineStr">
        <is>
          <t>4+1</t>
        </is>
      </c>
      <c r="F21" s="74" t="inlineStr">
        <is>
          <t>Mixed→Red</t>
        </is>
      </c>
      <c r="G21" s="74" t="inlineStr">
        <is>
          <t>Red</t>
        </is>
      </c>
      <c r="H21" s="73" t="n">
        <v>4</v>
      </c>
      <c r="I21" s="72">
        <f>H21+J21</f>
        <v/>
      </c>
      <c r="J21" s="73" t="n">
        <v>1</v>
      </c>
      <c r="K21" s="72" t="n">
        <v>1</v>
      </c>
      <c r="L21" s="72" t="n">
        <v>0</v>
      </c>
      <c r="M21" s="72">
        <f>I21</f>
        <v/>
      </c>
      <c r="N21" s="75">
        <f>J21/M21</f>
        <v/>
      </c>
      <c r="O21" s="72" t="n">
        <v>0</v>
      </c>
      <c r="P21" s="74" t="inlineStr">
        <is>
          <t>None</t>
        </is>
      </c>
      <c r="Q21" s="74" t="inlineStr">
        <is>
          <t>Defect encountered mid-assembly</t>
        </is>
      </c>
      <c r="R21" s="72" t="inlineStr">
        <is>
          <t>Routine discard</t>
        </is>
      </c>
      <c r="S21" s="72" t="inlineStr">
        <is>
          <t>g-chart + u-chart + Pareto</t>
        </is>
      </c>
      <c r="T21" t="inlineStr">
        <is>
          <t>process 2.pdf notes (cleaned from notes where unclear)</t>
        </is>
      </c>
      <c r="U21" t="inlineStr">
        <is>
          <t>Reconstructed from aggregate colour totals</t>
        </is>
      </c>
      <c r="V21" t="inlineStr">
        <is>
          <t>Reconstructed classification</t>
        </is>
      </c>
    </row>
    <row r="22" ht="15" customHeight="1" s="56">
      <c r="A22" s="72" t="n">
        <v>16</v>
      </c>
      <c r="B22" s="73" t="inlineStr">
        <is>
          <t>Raw observed</t>
        </is>
      </c>
      <c r="C22" s="72" t="inlineStr">
        <is>
          <t>Phase 1</t>
        </is>
      </c>
      <c r="D22" s="74" t="inlineStr">
        <is>
          <t>Middle</t>
        </is>
      </c>
      <c r="E22" s="74" t="inlineStr">
        <is>
          <t>4+1</t>
        </is>
      </c>
      <c r="F22" s="74" t="inlineStr">
        <is>
          <t>Mixed→Red</t>
        </is>
      </c>
      <c r="G22" s="74" t="inlineStr">
        <is>
          <t>Red</t>
        </is>
      </c>
      <c r="H22" s="73" t="n">
        <v>4</v>
      </c>
      <c r="I22" s="72">
        <f>H22+J22</f>
        <v/>
      </c>
      <c r="J22" s="73" t="n">
        <v>1</v>
      </c>
      <c r="K22" s="72" t="n">
        <v>1</v>
      </c>
      <c r="L22" s="72" t="n">
        <v>0</v>
      </c>
      <c r="M22" s="72">
        <f>I22</f>
        <v/>
      </c>
      <c r="N22" s="75">
        <f>J22/M22</f>
        <v/>
      </c>
      <c r="O22" s="72" t="n">
        <v>0</v>
      </c>
      <c r="P22" s="74" t="inlineStr">
        <is>
          <t>None</t>
        </is>
      </c>
      <c r="Q22" s="74" t="inlineStr">
        <is>
          <t>Defect encountered mid-assembly</t>
        </is>
      </c>
      <c r="R22" s="72" t="inlineStr">
        <is>
          <t>Routine discard</t>
        </is>
      </c>
      <c r="S22" s="72" t="inlineStr">
        <is>
          <t>g-chart + u-chart + Pareto</t>
        </is>
      </c>
      <c r="T22" t="inlineStr">
        <is>
          <t>process 2.pdf notes (cleaned from notes where unclear)</t>
        </is>
      </c>
      <c r="U22" t="inlineStr">
        <is>
          <t>Reconstructed from aggregate colour totals</t>
        </is>
      </c>
      <c r="V22" t="inlineStr">
        <is>
          <t>Reconstructed classification</t>
        </is>
      </c>
    </row>
    <row r="23" ht="15" customHeight="1" s="56">
      <c r="A23" s="72" t="n">
        <v>17</v>
      </c>
      <c r="B23" s="73" t="inlineStr">
        <is>
          <t>Raw observed</t>
        </is>
      </c>
      <c r="C23" s="72" t="inlineStr">
        <is>
          <t>Phase 1</t>
        </is>
      </c>
      <c r="D23" s="74" t="inlineStr">
        <is>
          <t>Middle</t>
        </is>
      </c>
      <c r="E23" s="74" t="inlineStr">
        <is>
          <t>3+1</t>
        </is>
      </c>
      <c r="F23" s="74" t="inlineStr">
        <is>
          <t>Mixed→Orange</t>
        </is>
      </c>
      <c r="G23" s="74" t="inlineStr">
        <is>
          <t>Orange</t>
        </is>
      </c>
      <c r="H23" s="73" t="n">
        <v>3</v>
      </c>
      <c r="I23" s="72">
        <f>H23+J23</f>
        <v/>
      </c>
      <c r="J23" s="73" t="n">
        <v>1</v>
      </c>
      <c r="K23" s="72" t="n">
        <v>1</v>
      </c>
      <c r="L23" s="72" t="n">
        <v>0</v>
      </c>
      <c r="M23" s="72">
        <f>I23</f>
        <v/>
      </c>
      <c r="N23" s="75">
        <f>J23/M23</f>
        <v/>
      </c>
      <c r="O23" s="76" t="n">
        <v>1</v>
      </c>
      <c r="P23" s="76" t="inlineStr">
        <is>
          <t>High-defect colour reached early</t>
        </is>
      </c>
      <c r="Q23" s="74" t="inlineStr">
        <is>
          <t>Orange (high-defect colour) picked at position 4, early discard</t>
        </is>
      </c>
      <c r="R23" s="72" t="inlineStr">
        <is>
          <t>Early high-defect-colour discard</t>
        </is>
      </c>
      <c r="S23" s="72" t="inlineStr">
        <is>
          <t>g-chart + u-chart + Pareto</t>
        </is>
      </c>
      <c r="T23" t="inlineStr">
        <is>
          <t>process 2.pdf notes (cleaned from notes where unclear)</t>
        </is>
      </c>
      <c r="U23" t="inlineStr">
        <is>
          <t>Reconstructed from aggregate colour totals</t>
        </is>
      </c>
      <c r="V23" t="inlineStr">
        <is>
          <t>Reconstructed classification</t>
        </is>
      </c>
    </row>
    <row r="24" ht="15" customHeight="1" s="56">
      <c r="A24" s="72" t="n">
        <v>18</v>
      </c>
      <c r="B24" s="73" t="inlineStr">
        <is>
          <t>Raw observed</t>
        </is>
      </c>
      <c r="C24" s="72" t="inlineStr">
        <is>
          <t>Phase 1</t>
        </is>
      </c>
      <c r="D24" s="74" t="inlineStr">
        <is>
          <t>Middle</t>
        </is>
      </c>
      <c r="E24" s="74" t="inlineStr">
        <is>
          <t>3+1</t>
        </is>
      </c>
      <c r="F24" s="74" t="inlineStr">
        <is>
          <t>Mixed→Orange</t>
        </is>
      </c>
      <c r="G24" s="74" t="inlineStr">
        <is>
          <t>Orange</t>
        </is>
      </c>
      <c r="H24" s="73" t="n">
        <v>3</v>
      </c>
      <c r="I24" s="72">
        <f>H24+J24</f>
        <v/>
      </c>
      <c r="J24" s="73" t="n">
        <v>1</v>
      </c>
      <c r="K24" s="72" t="n">
        <v>1</v>
      </c>
      <c r="L24" s="72" t="n">
        <v>0</v>
      </c>
      <c r="M24" s="72">
        <f>I24</f>
        <v/>
      </c>
      <c r="N24" s="75">
        <f>J24/M24</f>
        <v/>
      </c>
      <c r="O24" s="76" t="n">
        <v>1</v>
      </c>
      <c r="P24" s="76" t="inlineStr">
        <is>
          <t>High-defect colour reached early</t>
        </is>
      </c>
      <c r="Q24" s="74" t="inlineStr">
        <is>
          <t>Orange (high-defect colour) picked at position 4, early discard</t>
        </is>
      </c>
      <c r="R24" s="72" t="inlineStr">
        <is>
          <t>Early high-defect-colour discard</t>
        </is>
      </c>
      <c r="S24" s="72" t="inlineStr">
        <is>
          <t>g-chart + u-chart + Pareto</t>
        </is>
      </c>
      <c r="T24" t="inlineStr">
        <is>
          <t>process 2.pdf notes (cleaned from notes where unclear)</t>
        </is>
      </c>
      <c r="U24" t="inlineStr">
        <is>
          <t>Reconstructed from aggregate colour totals</t>
        </is>
      </c>
      <c r="V24" t="inlineStr">
        <is>
          <t>Reconstructed classification</t>
        </is>
      </c>
    </row>
    <row r="25" ht="15" customHeight="1" s="56">
      <c r="A25" s="72" t="n">
        <v>19</v>
      </c>
      <c r="B25" s="73" t="inlineStr">
        <is>
          <t>Raw observed</t>
        </is>
      </c>
      <c r="C25" s="72" t="inlineStr">
        <is>
          <t>Phase 1</t>
        </is>
      </c>
      <c r="D25" s="74" t="inlineStr">
        <is>
          <t>Middle</t>
        </is>
      </c>
      <c r="E25" s="74" t="inlineStr">
        <is>
          <t>4+1</t>
        </is>
      </c>
      <c r="F25" s="74" t="inlineStr">
        <is>
          <t>Mixed→Red</t>
        </is>
      </c>
      <c r="G25" s="74" t="inlineStr">
        <is>
          <t>Red</t>
        </is>
      </c>
      <c r="H25" s="73" t="n">
        <v>4</v>
      </c>
      <c r="I25" s="72">
        <f>H25+J25</f>
        <v/>
      </c>
      <c r="J25" s="73" t="n">
        <v>1</v>
      </c>
      <c r="K25" s="72" t="n">
        <v>1</v>
      </c>
      <c r="L25" s="72" t="n">
        <v>0</v>
      </c>
      <c r="M25" s="72">
        <f>I25</f>
        <v/>
      </c>
      <c r="N25" s="75">
        <f>J25/M25</f>
        <v/>
      </c>
      <c r="O25" s="72" t="n">
        <v>0</v>
      </c>
      <c r="P25" s="74" t="inlineStr">
        <is>
          <t>None</t>
        </is>
      </c>
      <c r="Q25" s="74" t="inlineStr">
        <is>
          <t>Defect encountered mid-assembly</t>
        </is>
      </c>
      <c r="R25" s="72" t="inlineStr">
        <is>
          <t>Routine discard</t>
        </is>
      </c>
      <c r="S25" s="72" t="inlineStr">
        <is>
          <t>g-chart + u-chart + Pareto</t>
        </is>
      </c>
      <c r="T25" t="inlineStr">
        <is>
          <t>process 2.pdf notes (cleaned from notes where unclear)</t>
        </is>
      </c>
      <c r="U25" t="inlineStr">
        <is>
          <t>Reconstructed from aggregate colour totals</t>
        </is>
      </c>
      <c r="V25" t="inlineStr">
        <is>
          <t>Reconstructed classification</t>
        </is>
      </c>
    </row>
    <row r="26" ht="15" customHeight="1" s="56">
      <c r="A26" s="72" t="n">
        <v>20</v>
      </c>
      <c r="B26" s="73" t="inlineStr">
        <is>
          <t>Raw observed</t>
        </is>
      </c>
      <c r="C26" s="72" t="inlineStr">
        <is>
          <t>Phase 1</t>
        </is>
      </c>
      <c r="D26" s="74" t="inlineStr">
        <is>
          <t>Middle</t>
        </is>
      </c>
      <c r="E26" s="74" t="inlineStr">
        <is>
          <t>4+1</t>
        </is>
      </c>
      <c r="F26" s="74" t="inlineStr">
        <is>
          <t>Mixed→Red</t>
        </is>
      </c>
      <c r="G26" s="74" t="inlineStr">
        <is>
          <t>Red</t>
        </is>
      </c>
      <c r="H26" s="73" t="n">
        <v>4</v>
      </c>
      <c r="I26" s="72">
        <f>H26+J26</f>
        <v/>
      </c>
      <c r="J26" s="73" t="n">
        <v>1</v>
      </c>
      <c r="K26" s="72" t="n">
        <v>1</v>
      </c>
      <c r="L26" s="72" t="n">
        <v>0</v>
      </c>
      <c r="M26" s="72">
        <f>I26</f>
        <v/>
      </c>
      <c r="N26" s="75">
        <f>J26/M26</f>
        <v/>
      </c>
      <c r="O26" s="72" t="n">
        <v>0</v>
      </c>
      <c r="P26" s="74" t="inlineStr">
        <is>
          <t>None</t>
        </is>
      </c>
      <c r="Q26" s="74" t="inlineStr">
        <is>
          <t>Defect encountered mid-assembly</t>
        </is>
      </c>
      <c r="R26" s="72" t="inlineStr">
        <is>
          <t>Routine discard</t>
        </is>
      </c>
      <c r="S26" s="72" t="inlineStr">
        <is>
          <t>g-chart + u-chart + Pareto</t>
        </is>
      </c>
      <c r="T26" t="inlineStr">
        <is>
          <t>process 2.pdf notes (cleaned from notes where unclear)</t>
        </is>
      </c>
      <c r="U26" t="inlineStr">
        <is>
          <t>Reconstructed from aggregate colour totals</t>
        </is>
      </c>
      <c r="V26" t="inlineStr">
        <is>
          <t>Reconstructed classification</t>
        </is>
      </c>
    </row>
    <row r="27" ht="15" customHeight="1" s="56">
      <c r="A27" s="72" t="n">
        <v>21</v>
      </c>
      <c r="B27" s="73" t="inlineStr">
        <is>
          <t>Raw observed</t>
        </is>
      </c>
      <c r="C27" s="72" t="inlineStr">
        <is>
          <t>Phase 1</t>
        </is>
      </c>
      <c r="D27" s="74" t="inlineStr">
        <is>
          <t>Late</t>
        </is>
      </c>
      <c r="E27" s="74" t="inlineStr">
        <is>
          <t>3+1</t>
        </is>
      </c>
      <c r="F27" s="74" t="inlineStr">
        <is>
          <t>Mixed→Orange</t>
        </is>
      </c>
      <c r="G27" s="74" t="inlineStr">
        <is>
          <t>Orange</t>
        </is>
      </c>
      <c r="H27" s="73" t="n">
        <v>3</v>
      </c>
      <c r="I27" s="72">
        <f>H27+J27</f>
        <v/>
      </c>
      <c r="J27" s="73" t="n">
        <v>1</v>
      </c>
      <c r="K27" s="72" t="n">
        <v>1</v>
      </c>
      <c r="L27" s="72" t="n">
        <v>0</v>
      </c>
      <c r="M27" s="72">
        <f>I27</f>
        <v/>
      </c>
      <c r="N27" s="75">
        <f>J27/M27</f>
        <v/>
      </c>
      <c r="O27" s="76" t="n">
        <v>1</v>
      </c>
      <c r="P27" s="76" t="inlineStr">
        <is>
          <t>High-defect colour reached early</t>
        </is>
      </c>
      <c r="Q27" s="74" t="inlineStr">
        <is>
          <t>Orange (high-defect colour) picked at position 4, early discard</t>
        </is>
      </c>
      <c r="R27" s="72" t="inlineStr">
        <is>
          <t>Early high-defect-colour discard</t>
        </is>
      </c>
      <c r="S27" s="72" t="inlineStr">
        <is>
          <t>g-chart + u-chart + Pareto</t>
        </is>
      </c>
      <c r="T27" t="inlineStr">
        <is>
          <t>process 2.pdf notes (cleaned from notes where unclear)</t>
        </is>
      </c>
      <c r="U27" t="inlineStr">
        <is>
          <t>Reconstructed from aggregate colour totals</t>
        </is>
      </c>
      <c r="V27" t="inlineStr">
        <is>
          <t>Reconstructed classification</t>
        </is>
      </c>
    </row>
    <row r="28" ht="15" customHeight="1" s="56">
      <c r="A28" s="72" t="n">
        <v>22</v>
      </c>
      <c r="B28" s="73" t="inlineStr">
        <is>
          <t>Raw observed</t>
        </is>
      </c>
      <c r="C28" s="72" t="inlineStr">
        <is>
          <t>Phase 1</t>
        </is>
      </c>
      <c r="D28" s="74" t="inlineStr">
        <is>
          <t>Late</t>
        </is>
      </c>
      <c r="E28" s="74" t="inlineStr">
        <is>
          <t>6+1</t>
        </is>
      </c>
      <c r="F28" s="74" t="inlineStr">
        <is>
          <t>Mixed→Dark Blue</t>
        </is>
      </c>
      <c r="G28" s="74" t="inlineStr">
        <is>
          <t>Dark Blue</t>
        </is>
      </c>
      <c r="H28" s="73" t="n">
        <v>6</v>
      </c>
      <c r="I28" s="72">
        <f>H28+J28</f>
        <v/>
      </c>
      <c r="J28" s="73" t="n">
        <v>1</v>
      </c>
      <c r="K28" s="72" t="n">
        <v>1</v>
      </c>
      <c r="L28" s="72" t="n">
        <v>0</v>
      </c>
      <c r="M28" s="72">
        <f>I28</f>
        <v/>
      </c>
      <c r="N28" s="75">
        <f>J28/M28</f>
        <v/>
      </c>
      <c r="O28" s="72" t="n">
        <v>0</v>
      </c>
      <c r="P28" s="74" t="inlineStr">
        <is>
          <t>None</t>
        </is>
      </c>
      <c r="Q28" s="74" t="inlineStr">
        <is>
          <t>Defect encountered mid-assembly</t>
        </is>
      </c>
      <c r="R28" s="72" t="inlineStr">
        <is>
          <t>Routine discard</t>
        </is>
      </c>
      <c r="S28" s="72" t="inlineStr">
        <is>
          <t>g-chart + u-chart + Pareto</t>
        </is>
      </c>
      <c r="T28" t="inlineStr">
        <is>
          <t>process 2.pdf notes (cleaned from notes where unclear)</t>
        </is>
      </c>
      <c r="U28" t="inlineStr">
        <is>
          <t>Reconstructed from aggregate colour totals</t>
        </is>
      </c>
      <c r="V28" t="inlineStr">
        <is>
          <t>Reconstructed classification</t>
        </is>
      </c>
    </row>
    <row r="29" ht="15" customHeight="1" s="56">
      <c r="A29" s="72" t="n">
        <v>23</v>
      </c>
      <c r="B29" s="73" t="inlineStr">
        <is>
          <t>Raw observed</t>
        </is>
      </c>
      <c r="C29" s="72" t="inlineStr">
        <is>
          <t>Phase 1</t>
        </is>
      </c>
      <c r="D29" s="74" t="inlineStr">
        <is>
          <t>Late</t>
        </is>
      </c>
      <c r="E29" s="74" t="inlineStr">
        <is>
          <t>4+1</t>
        </is>
      </c>
      <c r="F29" s="74" t="inlineStr">
        <is>
          <t>Mixed→Red</t>
        </is>
      </c>
      <c r="G29" s="74" t="inlineStr">
        <is>
          <t>Red</t>
        </is>
      </c>
      <c r="H29" s="73" t="n">
        <v>4</v>
      </c>
      <c r="I29" s="72">
        <f>H29+J29</f>
        <v/>
      </c>
      <c r="J29" s="73" t="n">
        <v>1</v>
      </c>
      <c r="K29" s="72" t="n">
        <v>1</v>
      </c>
      <c r="L29" s="72" t="n">
        <v>0</v>
      </c>
      <c r="M29" s="72">
        <f>I29</f>
        <v/>
      </c>
      <c r="N29" s="75">
        <f>J29/M29</f>
        <v/>
      </c>
      <c r="O29" s="72" t="n">
        <v>0</v>
      </c>
      <c r="P29" s="74" t="inlineStr">
        <is>
          <t>None</t>
        </is>
      </c>
      <c r="Q29" s="74" t="inlineStr">
        <is>
          <t>Defect encountered mid-assembly</t>
        </is>
      </c>
      <c r="R29" s="72" t="inlineStr">
        <is>
          <t>Routine discard</t>
        </is>
      </c>
      <c r="S29" s="72" t="inlineStr">
        <is>
          <t>g-chart + u-chart + Pareto</t>
        </is>
      </c>
      <c r="T29" t="inlineStr">
        <is>
          <t>process 2.pdf notes (cleaned from notes where unclear)</t>
        </is>
      </c>
      <c r="U29" t="inlineStr">
        <is>
          <t>Reconstructed from aggregate colour totals</t>
        </is>
      </c>
      <c r="V29" t="inlineStr">
        <is>
          <t>Reconstructed classification</t>
        </is>
      </c>
    </row>
    <row r="30" ht="15" customHeight="1" s="56">
      <c r="A30" s="72" t="n">
        <v>24</v>
      </c>
      <c r="B30" s="73" t="inlineStr">
        <is>
          <t>Raw observed</t>
        </is>
      </c>
      <c r="C30" s="72" t="inlineStr">
        <is>
          <t>Phase 1</t>
        </is>
      </c>
      <c r="D30" s="74" t="inlineStr">
        <is>
          <t>Late</t>
        </is>
      </c>
      <c r="E30" s="74" t="inlineStr">
        <is>
          <t>4+1</t>
        </is>
      </c>
      <c r="F30" s="74" t="inlineStr">
        <is>
          <t>Mixed→Red</t>
        </is>
      </c>
      <c r="G30" s="74" t="inlineStr">
        <is>
          <t>Red</t>
        </is>
      </c>
      <c r="H30" s="73" t="n">
        <v>4</v>
      </c>
      <c r="I30" s="72">
        <f>H30+J30</f>
        <v/>
      </c>
      <c r="J30" s="73" t="n">
        <v>1</v>
      </c>
      <c r="K30" s="72" t="n">
        <v>1</v>
      </c>
      <c r="L30" s="72" t="n">
        <v>0</v>
      </c>
      <c r="M30" s="72">
        <f>I30</f>
        <v/>
      </c>
      <c r="N30" s="75">
        <f>J30/M30</f>
        <v/>
      </c>
      <c r="O30" s="72" t="n">
        <v>0</v>
      </c>
      <c r="P30" s="74" t="inlineStr">
        <is>
          <t>None</t>
        </is>
      </c>
      <c r="Q30" s="74" t="inlineStr">
        <is>
          <t>Defect encountered mid-assembly</t>
        </is>
      </c>
      <c r="R30" s="72" t="inlineStr">
        <is>
          <t>Routine discard</t>
        </is>
      </c>
      <c r="S30" s="72" t="inlineStr">
        <is>
          <t>g-chart + u-chart + Pareto</t>
        </is>
      </c>
      <c r="T30" t="inlineStr">
        <is>
          <t>process 2.pdf notes (cleaned from notes where unclear)</t>
        </is>
      </c>
      <c r="U30" t="inlineStr">
        <is>
          <t>Reconstructed from aggregate colour totals</t>
        </is>
      </c>
      <c r="V30" t="inlineStr">
        <is>
          <t>Reconstructed classification</t>
        </is>
      </c>
    </row>
    <row r="31" ht="15" customHeight="1" s="56">
      <c r="A31" s="72" t="n">
        <v>25</v>
      </c>
      <c r="B31" s="73" t="inlineStr">
        <is>
          <t>Raw observed</t>
        </is>
      </c>
      <c r="C31" s="72" t="inlineStr">
        <is>
          <t>Phase 1</t>
        </is>
      </c>
      <c r="D31" s="74" t="inlineStr">
        <is>
          <t>Late</t>
        </is>
      </c>
      <c r="E31" s="74" t="inlineStr">
        <is>
          <t>6+1</t>
        </is>
      </c>
      <c r="F31" s="74" t="inlineStr">
        <is>
          <t>Mixed→Dark Blue</t>
        </is>
      </c>
      <c r="G31" s="74" t="inlineStr">
        <is>
          <t>Dark Blue</t>
        </is>
      </c>
      <c r="H31" s="73" t="n">
        <v>6</v>
      </c>
      <c r="I31" s="72">
        <f>H31+J31</f>
        <v/>
      </c>
      <c r="J31" s="73" t="n">
        <v>1</v>
      </c>
      <c r="K31" s="72" t="n">
        <v>1</v>
      </c>
      <c r="L31" s="72" t="n">
        <v>0</v>
      </c>
      <c r="M31" s="72">
        <f>I31</f>
        <v/>
      </c>
      <c r="N31" s="75">
        <f>J31/M31</f>
        <v/>
      </c>
      <c r="O31" s="72" t="n">
        <v>0</v>
      </c>
      <c r="P31" s="74" t="inlineStr">
        <is>
          <t>None</t>
        </is>
      </c>
      <c r="Q31" s="74" t="inlineStr">
        <is>
          <t>Defect encountered mid-assembly</t>
        </is>
      </c>
      <c r="R31" s="72" t="inlineStr">
        <is>
          <t>Routine discard</t>
        </is>
      </c>
      <c r="S31" s="72" t="inlineStr">
        <is>
          <t>g-chart + u-chart + Pareto</t>
        </is>
      </c>
      <c r="T31" t="inlineStr">
        <is>
          <t>process 2.pdf notes (cleaned from notes where unclear)</t>
        </is>
      </c>
      <c r="U31" t="inlineStr">
        <is>
          <t>Reconstructed from aggregate colour totals</t>
        </is>
      </c>
      <c r="V31" t="inlineStr">
        <is>
          <t>Reconstructed classification</t>
        </is>
      </c>
    </row>
    <row r="32" ht="15" customHeight="1" s="56">
      <c r="A32" s="72" t="n">
        <v>26</v>
      </c>
      <c r="B32" s="73" t="inlineStr">
        <is>
          <t>Raw observed</t>
        </is>
      </c>
      <c r="C32" s="72" t="inlineStr">
        <is>
          <t>Phase 1</t>
        </is>
      </c>
      <c r="D32" s="74" t="inlineStr">
        <is>
          <t>Late</t>
        </is>
      </c>
      <c r="E32" s="74" t="inlineStr">
        <is>
          <t>5+1</t>
        </is>
      </c>
      <c r="F32" s="74" t="inlineStr">
        <is>
          <t>Mixed→Yellow</t>
        </is>
      </c>
      <c r="G32" s="74" t="inlineStr">
        <is>
          <t>Yellow</t>
        </is>
      </c>
      <c r="H32" s="73" t="n">
        <v>5</v>
      </c>
      <c r="I32" s="72">
        <f>H32+J32</f>
        <v/>
      </c>
      <c r="J32" s="73" t="n">
        <v>1</v>
      </c>
      <c r="K32" s="72" t="n">
        <v>1</v>
      </c>
      <c r="L32" s="72" t="n">
        <v>0</v>
      </c>
      <c r="M32" s="72">
        <f>I32</f>
        <v/>
      </c>
      <c r="N32" s="75">
        <f>J32/M32</f>
        <v/>
      </c>
      <c r="O32" s="72" t="n">
        <v>0</v>
      </c>
      <c r="P32" s="74" t="inlineStr">
        <is>
          <t>None</t>
        </is>
      </c>
      <c r="Q32" s="74" t="inlineStr">
        <is>
          <t>Defect encountered mid-assembly</t>
        </is>
      </c>
      <c r="R32" s="72" t="inlineStr">
        <is>
          <t>Routine discard</t>
        </is>
      </c>
      <c r="S32" s="72" t="inlineStr">
        <is>
          <t>g-chart + u-chart + Pareto</t>
        </is>
      </c>
      <c r="T32" t="inlineStr">
        <is>
          <t>process 2.pdf notes (cleaned from notes where unclear)</t>
        </is>
      </c>
      <c r="U32" t="inlineStr">
        <is>
          <t>Reconstructed from aggregate colour totals</t>
        </is>
      </c>
      <c r="V32" t="inlineStr">
        <is>
          <t>Reconstructed classification</t>
        </is>
      </c>
    </row>
    <row r="33" ht="15" customHeight="1" s="56">
      <c r="A33" s="72" t="n">
        <v>27</v>
      </c>
      <c r="B33" s="73" t="inlineStr">
        <is>
          <t>Raw observed</t>
        </is>
      </c>
      <c r="C33" s="72" t="inlineStr">
        <is>
          <t>Phase 1</t>
        </is>
      </c>
      <c r="D33" s="74" t="inlineStr">
        <is>
          <t>Late</t>
        </is>
      </c>
      <c r="E33" s="74" t="inlineStr">
        <is>
          <t>3+1</t>
        </is>
      </c>
      <c r="F33" s="74" t="inlineStr">
        <is>
          <t>Mixed→Orange</t>
        </is>
      </c>
      <c r="G33" s="74" t="inlineStr">
        <is>
          <t>Orange</t>
        </is>
      </c>
      <c r="H33" s="73" t="n">
        <v>3</v>
      </c>
      <c r="I33" s="72">
        <f>H33+J33</f>
        <v/>
      </c>
      <c r="J33" s="73" t="n">
        <v>1</v>
      </c>
      <c r="K33" s="72" t="n">
        <v>1</v>
      </c>
      <c r="L33" s="72" t="n">
        <v>0</v>
      </c>
      <c r="M33" s="72">
        <f>I33</f>
        <v/>
      </c>
      <c r="N33" s="75">
        <f>J33/M33</f>
        <v/>
      </c>
      <c r="O33" s="76" t="n">
        <v>1</v>
      </c>
      <c r="P33" s="76" t="inlineStr">
        <is>
          <t>High-defect colour reached early</t>
        </is>
      </c>
      <c r="Q33" s="74" t="inlineStr">
        <is>
          <t>Orange (high-defect colour) picked at position 4, early discard</t>
        </is>
      </c>
      <c r="R33" s="72" t="inlineStr">
        <is>
          <t>Early high-defect-colour discard</t>
        </is>
      </c>
      <c r="S33" s="72" t="inlineStr">
        <is>
          <t>g-chart + u-chart + Pareto</t>
        </is>
      </c>
      <c r="T33" t="inlineStr">
        <is>
          <t>process 2.pdf notes (cleaned from notes where unclear)</t>
        </is>
      </c>
      <c r="U33" t="inlineStr">
        <is>
          <t>Reconstructed from aggregate colour totals</t>
        </is>
      </c>
      <c r="V33" t="inlineStr">
        <is>
          <t>Reconstructed classification</t>
        </is>
      </c>
    </row>
    <row r="34" ht="15" customHeight="1" s="56">
      <c r="A34" s="72" t="n">
        <v>28</v>
      </c>
      <c r="B34" s="73" t="inlineStr">
        <is>
          <t>Raw observed</t>
        </is>
      </c>
      <c r="C34" s="72" t="inlineStr">
        <is>
          <t>Phase 1</t>
        </is>
      </c>
      <c r="D34" s="74" t="inlineStr">
        <is>
          <t>Late</t>
        </is>
      </c>
      <c r="E34" s="74" t="inlineStr">
        <is>
          <t>3+1</t>
        </is>
      </c>
      <c r="F34" s="74" t="inlineStr">
        <is>
          <t>Mixed→Orange</t>
        </is>
      </c>
      <c r="G34" s="74" t="inlineStr">
        <is>
          <t>Orange</t>
        </is>
      </c>
      <c r="H34" s="73" t="n">
        <v>3</v>
      </c>
      <c r="I34" s="72">
        <f>H34+J34</f>
        <v/>
      </c>
      <c r="J34" s="73" t="n">
        <v>1</v>
      </c>
      <c r="K34" s="72" t="n">
        <v>1</v>
      </c>
      <c r="L34" s="72" t="n">
        <v>0</v>
      </c>
      <c r="M34" s="72">
        <f>I34</f>
        <v/>
      </c>
      <c r="N34" s="75">
        <f>J34/M34</f>
        <v/>
      </c>
      <c r="O34" s="76" t="n">
        <v>1</v>
      </c>
      <c r="P34" s="76" t="inlineStr">
        <is>
          <t>High-defect colour reached early</t>
        </is>
      </c>
      <c r="Q34" s="74" t="inlineStr">
        <is>
          <t>Orange (high-defect colour) picked at position 4, early discard</t>
        </is>
      </c>
      <c r="R34" s="72" t="inlineStr">
        <is>
          <t>Early high-defect-colour discard</t>
        </is>
      </c>
      <c r="S34" s="72" t="inlineStr">
        <is>
          <t>g-chart + u-chart + Pareto</t>
        </is>
      </c>
      <c r="T34" t="inlineStr">
        <is>
          <t>process 2.pdf notes (cleaned from notes where unclear)</t>
        </is>
      </c>
      <c r="U34" t="inlineStr">
        <is>
          <t>Reconstructed from aggregate colour totals</t>
        </is>
      </c>
      <c r="V34" t="inlineStr">
        <is>
          <t>Reconstructed classification</t>
        </is>
      </c>
    </row>
    <row r="35" ht="15" customHeight="1" s="56">
      <c r="A35" s="72" t="n">
        <v>29</v>
      </c>
      <c r="B35" s="73" t="inlineStr">
        <is>
          <t>Raw observed</t>
        </is>
      </c>
      <c r="C35" s="72" t="inlineStr">
        <is>
          <t>Phase 1</t>
        </is>
      </c>
      <c r="D35" s="74" t="inlineStr">
        <is>
          <t>Late</t>
        </is>
      </c>
      <c r="E35" s="74" t="inlineStr">
        <is>
          <t>3+1</t>
        </is>
      </c>
      <c r="F35" s="74" t="inlineStr">
        <is>
          <t>Mixed→Orange</t>
        </is>
      </c>
      <c r="G35" s="74" t="inlineStr">
        <is>
          <t>Orange</t>
        </is>
      </c>
      <c r="H35" s="73" t="n">
        <v>3</v>
      </c>
      <c r="I35" s="72">
        <f>H35+J35</f>
        <v/>
      </c>
      <c r="J35" s="73" t="n">
        <v>1</v>
      </c>
      <c r="K35" s="72" t="n">
        <v>1</v>
      </c>
      <c r="L35" s="72" t="n">
        <v>0</v>
      </c>
      <c r="M35" s="72">
        <f>I35</f>
        <v/>
      </c>
      <c r="N35" s="75">
        <f>J35/M35</f>
        <v/>
      </c>
      <c r="O35" s="76" t="n">
        <v>1</v>
      </c>
      <c r="P35" s="76" t="inlineStr">
        <is>
          <t>High-defect colour reached early</t>
        </is>
      </c>
      <c r="Q35" s="74" t="inlineStr">
        <is>
          <t>Orange (high-defect colour) picked at position 4, early discard</t>
        </is>
      </c>
      <c r="R35" s="72" t="inlineStr">
        <is>
          <t>Early high-defect-colour discard</t>
        </is>
      </c>
      <c r="S35" s="72" t="inlineStr">
        <is>
          <t>g-chart + u-chart + Pareto</t>
        </is>
      </c>
      <c r="T35" t="inlineStr">
        <is>
          <t>process 2.pdf notes (cleaned from notes where unclear)</t>
        </is>
      </c>
      <c r="U35" t="inlineStr">
        <is>
          <t>Reconstructed from aggregate colour totals</t>
        </is>
      </c>
      <c r="V35" t="inlineStr">
        <is>
          <t>Reconstructed classification</t>
        </is>
      </c>
    </row>
    <row r="36" ht="15" customHeight="1" s="56">
      <c r="A36" s="72" t="n">
        <v>30</v>
      </c>
      <c r="B36" s="73" t="inlineStr">
        <is>
          <t>Raw observed</t>
        </is>
      </c>
      <c r="C36" s="72" t="inlineStr">
        <is>
          <t>Phase 1</t>
        </is>
      </c>
      <c r="D36" s="74" t="inlineStr">
        <is>
          <t>Late</t>
        </is>
      </c>
      <c r="E36" s="74" t="inlineStr">
        <is>
          <t>4+1</t>
        </is>
      </c>
      <c r="F36" s="74" t="inlineStr">
        <is>
          <t>Mixed→Red</t>
        </is>
      </c>
      <c r="G36" s="74" t="inlineStr">
        <is>
          <t>Red</t>
        </is>
      </c>
      <c r="H36" s="73" t="n">
        <v>4</v>
      </c>
      <c r="I36" s="72">
        <f>H36+J36</f>
        <v/>
      </c>
      <c r="J36" s="73" t="n">
        <v>1</v>
      </c>
      <c r="K36" s="72" t="n">
        <v>1</v>
      </c>
      <c r="L36" s="72" t="n">
        <v>0</v>
      </c>
      <c r="M36" s="72">
        <f>I36</f>
        <v/>
      </c>
      <c r="N36" s="75">
        <f>J36/M36</f>
        <v/>
      </c>
      <c r="O36" s="72" t="n">
        <v>0</v>
      </c>
      <c r="P36" s="74" t="inlineStr">
        <is>
          <t>None</t>
        </is>
      </c>
      <c r="Q36" s="74" t="inlineStr">
        <is>
          <t>Defect encountered mid-assembly</t>
        </is>
      </c>
      <c r="R36" s="72" t="inlineStr">
        <is>
          <t>Routine discard</t>
        </is>
      </c>
      <c r="S36" s="72" t="inlineStr">
        <is>
          <t>g-chart + u-chart + Pareto</t>
        </is>
      </c>
      <c r="T36" t="inlineStr">
        <is>
          <t>process 2.pdf notes (cleaned from notes where unclear)</t>
        </is>
      </c>
      <c r="U36" t="inlineStr">
        <is>
          <t>Reconstructed from aggregate colour totals</t>
        </is>
      </c>
      <c r="V36" t="inlineStr">
        <is>
          <t>Reconstructed classification</t>
        </is>
      </c>
    </row>
    <row r="37" ht="15" customHeight="1" s="56">
      <c r="A37" s="77" t="inlineStr">
        <is>
          <t>TOTAL</t>
        </is>
      </c>
      <c r="J37" s="77">
        <f>SUM(J7:J36)</f>
        <v/>
      </c>
      <c r="M37" s="77">
        <f>SUM(M7:M36)</f>
        <v/>
      </c>
    </row>
    <row r="39" ht="15" customHeight="1" s="56">
      <c r="A39" s="78" t="inlineStr">
        <is>
          <t>Legend:</t>
        </is>
      </c>
      <c r="B39" s="79" t="inlineStr">
        <is>
          <t>Raw observed</t>
        </is>
      </c>
      <c r="D39" s="80" t="inlineStr">
        <is>
          <t>Reconstructed classification</t>
        </is>
      </c>
    </row>
  </sheetData>
  <autoFilter ref="A6:S36"/>
  <mergeCells count="1">
    <mergeCell ref="A2:S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S1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55" min="1" max="2"/>
    <col width="22" customWidth="1" style="55" min="3" max="8"/>
    <col width="12" customWidth="1" style="55" min="9" max="9"/>
    <col width="9" customWidth="1" style="55" min="10" max="12"/>
  </cols>
  <sheetData>
    <row r="1" ht="17.25" customHeight="1" s="56">
      <c r="A1" s="57" t="inlineStr">
        <is>
          <t>Process 2 — u-chart + g-chart + Pareto</t>
        </is>
      </c>
      <c r="H1" s="61" t="inlineStr">
        <is>
          <t>PARAMETERS</t>
        </is>
      </c>
    </row>
    <row r="2" ht="15" customHeight="1" s="56">
      <c r="H2" s="82" t="inlineStr">
        <is>
          <t>Total defects</t>
        </is>
      </c>
      <c r="I2" s="83">
        <f>SUM(P2_Data!J7:J36)</f>
        <v/>
      </c>
    </row>
    <row r="3" ht="15" customHeight="1" s="56">
      <c r="H3" s="82" t="inlineStr">
        <is>
          <t>Total opportunities</t>
        </is>
      </c>
      <c r="I3" s="83">
        <f>SUM(P2_Data!M7:M36)</f>
        <v/>
      </c>
    </row>
    <row r="4" ht="15" customHeight="1" s="56">
      <c r="H4" s="82" t="inlineStr">
        <is>
          <t>u_bar</t>
        </is>
      </c>
      <c r="I4" s="88">
        <f>I2/I3</f>
        <v/>
      </c>
    </row>
    <row r="5" ht="15" customHeight="1" s="56">
      <c r="H5" s="82" t="inlineStr">
        <is>
          <t>g_bar</t>
        </is>
      </c>
      <c r="I5" s="83">
        <f>AVERAGE(P2_Data!H7:H36)</f>
        <v/>
      </c>
    </row>
    <row r="6" ht="15" customHeight="1" s="56">
      <c r="H6" s="82" t="inlineStr">
        <is>
          <t>p_hat=1/(g_bar+1)</t>
        </is>
      </c>
      <c r="I6" s="83">
        <f>1/(I5+1)</f>
        <v/>
      </c>
    </row>
    <row r="8" ht="15" customHeight="1" s="56">
      <c r="A8" s="85" t="inlineStr">
        <is>
          <t>Run</t>
        </is>
      </c>
      <c r="B8" s="85" t="inlineStr">
        <is>
          <t>u_i</t>
        </is>
      </c>
      <c r="C8" s="85" t="inlineStr">
        <is>
          <t>u_bar</t>
        </is>
      </c>
      <c r="D8" s="85" t="inlineStr">
        <is>
          <t>UCL_3σ</t>
        </is>
      </c>
      <c r="E8" s="85" t="inlineStr">
        <is>
          <t>LCL_3σ</t>
        </is>
      </c>
      <c r="R8" t="inlineStr">
        <is>
          <t>Run</t>
        </is>
      </c>
      <c r="S8" t="inlineStr">
        <is>
          <t>g_i</t>
        </is>
      </c>
    </row>
    <row r="9" ht="15" customHeight="1" s="56">
      <c r="A9" s="87">
        <f>P2_Data!A7</f>
        <v/>
      </c>
      <c r="B9" s="84">
        <f>P2_Data!N7</f>
        <v/>
      </c>
      <c r="C9" s="84">
        <f>$I$4</f>
        <v/>
      </c>
      <c r="D9" s="84">
        <f>$I$4+3*SQRT($I$4/P2_Data!M7)</f>
        <v/>
      </c>
      <c r="E9" s="84">
        <f>MAX(0,$I$4-3*SQRT($I$4/P2_Data!M7))</f>
        <v/>
      </c>
      <c r="R9">
        <f>P2_Data!A7</f>
        <v/>
      </c>
      <c r="S9">
        <f>P2_Data!H7</f>
        <v/>
      </c>
    </row>
    <row r="10" ht="15" customHeight="1" s="56">
      <c r="A10" s="87">
        <f>P2_Data!A8</f>
        <v/>
      </c>
      <c r="B10" s="84">
        <f>P2_Data!N8</f>
        <v/>
      </c>
      <c r="C10" s="84">
        <f>$I$4</f>
        <v/>
      </c>
      <c r="D10" s="84">
        <f>$I$4+3*SQRT($I$4/P2_Data!M8)</f>
        <v/>
      </c>
      <c r="E10" s="84">
        <f>MAX(0,$I$4-3*SQRT($I$4/P2_Data!M8))</f>
        <v/>
      </c>
      <c r="H10" s="61" t="inlineStr">
        <is>
          <t>g-chart (geometric approx., higher = better)</t>
        </is>
      </c>
      <c r="R10">
        <f>P2_Data!A8</f>
        <v/>
      </c>
      <c r="S10">
        <f>P2_Data!H8</f>
        <v/>
      </c>
    </row>
    <row r="11" ht="15" customHeight="1" s="56">
      <c r="A11" s="87">
        <f>P2_Data!A9</f>
        <v/>
      </c>
      <c r="B11" s="84">
        <f>P2_Data!N9</f>
        <v/>
      </c>
      <c r="C11" s="84">
        <f>$I$4</f>
        <v/>
      </c>
      <c r="D11" s="84">
        <f>$I$4+3*SQRT($I$4/P2_Data!M9)</f>
        <v/>
      </c>
      <c r="E11" s="84">
        <f>MAX(0,$I$4-3*SQRT($I$4/P2_Data!M9))</f>
        <v/>
      </c>
      <c r="H11" s="85" t="inlineStr">
        <is>
          <t>Run</t>
        </is>
      </c>
      <c r="I11" s="85" t="inlineStr">
        <is>
          <t>g_i</t>
        </is>
      </c>
      <c r="J11" s="85" t="inlineStr">
        <is>
          <t>g_bar</t>
        </is>
      </c>
      <c r="K11" s="85" t="inlineStr">
        <is>
          <t>UCL_3σ</t>
        </is>
      </c>
      <c r="L11" s="85" t="inlineStr">
        <is>
          <t>LCL_3σ</t>
        </is>
      </c>
      <c r="M11" t="inlineStr">
        <is>
          <t>Practical_Max_7</t>
        </is>
      </c>
      <c r="R11">
        <f>P2_Data!A9</f>
        <v/>
      </c>
      <c r="S11">
        <f>P2_Data!H9</f>
        <v/>
      </c>
    </row>
    <row r="12" ht="15" customHeight="1" s="56">
      <c r="A12" s="87">
        <f>P2_Data!A10</f>
        <v/>
      </c>
      <c r="B12" s="84">
        <f>P2_Data!N10</f>
        <v/>
      </c>
      <c r="C12" s="84">
        <f>$I$4</f>
        <v/>
      </c>
      <c r="D12" s="84">
        <f>$I$4+3*SQRT($I$4/P2_Data!M10)</f>
        <v/>
      </c>
      <c r="E12" s="84">
        <f>MAX(0,$I$4-3*SQRT($I$4/P2_Data!M10))</f>
        <v/>
      </c>
      <c r="H12" s="87">
        <f>P2_Data!A7</f>
        <v/>
      </c>
      <c r="I12" s="87">
        <f>P2_Data!H7</f>
        <v/>
      </c>
      <c r="J12" s="89">
        <f>$I$5</f>
        <v/>
      </c>
      <c r="K12" s="89">
        <f>MIN(7,$I$5+3*SQRT((1-$I$6)/$I$6^2))</f>
        <v/>
      </c>
      <c r="L12" s="89">
        <f>MAX(0,$I$5-3*SQRT((1-$I$6)/$I$6^2))</f>
        <v/>
      </c>
      <c r="M12" t="n">
        <v>7</v>
      </c>
      <c r="R12">
        <f>P2_Data!A10</f>
        <v/>
      </c>
      <c r="S12">
        <f>P2_Data!H10</f>
        <v/>
      </c>
    </row>
    <row r="13" ht="15" customHeight="1" s="56">
      <c r="A13" s="87">
        <f>P2_Data!A11</f>
        <v/>
      </c>
      <c r="B13" s="84">
        <f>P2_Data!N11</f>
        <v/>
      </c>
      <c r="C13" s="84">
        <f>$I$4</f>
        <v/>
      </c>
      <c r="D13" s="84">
        <f>$I$4+3*SQRT($I$4/P2_Data!M11)</f>
        <v/>
      </c>
      <c r="E13" s="84">
        <f>MAX(0,$I$4-3*SQRT($I$4/P2_Data!M11))</f>
        <v/>
      </c>
      <c r="H13" s="87">
        <f>P2_Data!A8</f>
        <v/>
      </c>
      <c r="I13" s="87">
        <f>P2_Data!H8</f>
        <v/>
      </c>
      <c r="J13" s="89">
        <f>$I$5</f>
        <v/>
      </c>
      <c r="K13" s="89">
        <f>MIN(7,$I$5+3*SQRT((1-$I$6)/$I$6^2))</f>
        <v/>
      </c>
      <c r="L13" s="89">
        <f>MAX(0,$I$5-3*SQRT((1-$I$6)/$I$6^2))</f>
        <v/>
      </c>
      <c r="M13" t="n">
        <v>7</v>
      </c>
      <c r="R13">
        <f>P2_Data!A11</f>
        <v/>
      </c>
      <c r="S13">
        <f>P2_Data!H11</f>
        <v/>
      </c>
    </row>
    <row r="14" ht="15" customHeight="1" s="56">
      <c r="A14" s="87">
        <f>P2_Data!A12</f>
        <v/>
      </c>
      <c r="B14" s="84">
        <f>P2_Data!N12</f>
        <v/>
      </c>
      <c r="C14" s="84">
        <f>$I$4</f>
        <v/>
      </c>
      <c r="D14" s="84">
        <f>$I$4+3*SQRT($I$4/P2_Data!M12)</f>
        <v/>
      </c>
      <c r="E14" s="84">
        <f>MAX(0,$I$4-3*SQRT($I$4/P2_Data!M12))</f>
        <v/>
      </c>
      <c r="H14" s="87">
        <f>P2_Data!A9</f>
        <v/>
      </c>
      <c r="I14" s="87">
        <f>P2_Data!H9</f>
        <v/>
      </c>
      <c r="J14" s="89">
        <f>$I$5</f>
        <v/>
      </c>
      <c r="K14" s="89">
        <f>MIN(7,$I$5+3*SQRT((1-$I$6)/$I$6^2))</f>
        <v/>
      </c>
      <c r="L14" s="89">
        <f>MAX(0,$I$5-3*SQRT((1-$I$6)/$I$6^2))</f>
        <v/>
      </c>
      <c r="M14" t="n">
        <v>7</v>
      </c>
      <c r="R14">
        <f>P2_Data!A12</f>
        <v/>
      </c>
      <c r="S14">
        <f>P2_Data!H12</f>
        <v/>
      </c>
    </row>
    <row r="15" ht="15" customHeight="1" s="56">
      <c r="A15" s="87">
        <f>P2_Data!A13</f>
        <v/>
      </c>
      <c r="B15" s="84">
        <f>P2_Data!N13</f>
        <v/>
      </c>
      <c r="C15" s="84">
        <f>$I$4</f>
        <v/>
      </c>
      <c r="D15" s="84">
        <f>$I$4+3*SQRT($I$4/P2_Data!M13)</f>
        <v/>
      </c>
      <c r="E15" s="84">
        <f>MAX(0,$I$4-3*SQRT($I$4/P2_Data!M13))</f>
        <v/>
      </c>
      <c r="H15" s="87">
        <f>P2_Data!A10</f>
        <v/>
      </c>
      <c r="I15" s="87">
        <f>P2_Data!H10</f>
        <v/>
      </c>
      <c r="J15" s="89">
        <f>$I$5</f>
        <v/>
      </c>
      <c r="K15" s="89">
        <f>MIN(7,$I$5+3*SQRT((1-$I$6)/$I$6^2))</f>
        <v/>
      </c>
      <c r="L15" s="89">
        <f>MAX(0,$I$5-3*SQRT((1-$I$6)/$I$6^2))</f>
        <v/>
      </c>
      <c r="M15" t="n">
        <v>7</v>
      </c>
      <c r="R15">
        <f>P2_Data!A13</f>
        <v/>
      </c>
      <c r="S15">
        <f>P2_Data!H13</f>
        <v/>
      </c>
    </row>
    <row r="16" ht="15" customHeight="1" s="56">
      <c r="A16" s="87">
        <f>P2_Data!A14</f>
        <v/>
      </c>
      <c r="B16" s="84">
        <f>P2_Data!N14</f>
        <v/>
      </c>
      <c r="C16" s="84">
        <f>$I$4</f>
        <v/>
      </c>
      <c r="D16" s="84">
        <f>$I$4+3*SQRT($I$4/P2_Data!M14)</f>
        <v/>
      </c>
      <c r="E16" s="84">
        <f>MAX(0,$I$4-3*SQRT($I$4/P2_Data!M14))</f>
        <v/>
      </c>
      <c r="H16" s="87">
        <f>P2_Data!A11</f>
        <v/>
      </c>
      <c r="I16" s="87">
        <f>P2_Data!H11</f>
        <v/>
      </c>
      <c r="J16" s="89">
        <f>$I$5</f>
        <v/>
      </c>
      <c r="K16" s="89">
        <f>MIN(7,$I$5+3*SQRT((1-$I$6)/$I$6^2))</f>
        <v/>
      </c>
      <c r="L16" s="89">
        <f>MAX(0,$I$5-3*SQRT((1-$I$6)/$I$6^2))</f>
        <v/>
      </c>
      <c r="M16" t="n">
        <v>7</v>
      </c>
      <c r="R16">
        <f>P2_Data!A14</f>
        <v/>
      </c>
      <c r="S16">
        <f>P2_Data!H14</f>
        <v/>
      </c>
    </row>
    <row r="17" ht="15" customHeight="1" s="56">
      <c r="A17" s="87">
        <f>P2_Data!A15</f>
        <v/>
      </c>
      <c r="B17" s="84">
        <f>P2_Data!N15</f>
        <v/>
      </c>
      <c r="C17" s="84">
        <f>$I$4</f>
        <v/>
      </c>
      <c r="D17" s="84">
        <f>$I$4+3*SQRT($I$4/P2_Data!M15)</f>
        <v/>
      </c>
      <c r="E17" s="84">
        <f>MAX(0,$I$4-3*SQRT($I$4/P2_Data!M15))</f>
        <v/>
      </c>
      <c r="H17" s="87">
        <f>P2_Data!A12</f>
        <v/>
      </c>
      <c r="I17" s="87">
        <f>P2_Data!H12</f>
        <v/>
      </c>
      <c r="J17" s="89">
        <f>$I$5</f>
        <v/>
      </c>
      <c r="K17" s="89">
        <f>MIN(7,$I$5+3*SQRT((1-$I$6)/$I$6^2))</f>
        <v/>
      </c>
      <c r="L17" s="89">
        <f>MAX(0,$I$5-3*SQRT((1-$I$6)/$I$6^2))</f>
        <v/>
      </c>
      <c r="M17" t="n">
        <v>7</v>
      </c>
      <c r="R17">
        <f>P2_Data!A15</f>
        <v/>
      </c>
      <c r="S17">
        <f>P2_Data!H15</f>
        <v/>
      </c>
    </row>
    <row r="18" ht="15" customHeight="1" s="56">
      <c r="A18" s="87">
        <f>P2_Data!A16</f>
        <v/>
      </c>
      <c r="B18" s="84">
        <f>P2_Data!N16</f>
        <v/>
      </c>
      <c r="C18" s="84">
        <f>$I$4</f>
        <v/>
      </c>
      <c r="D18" s="84">
        <f>$I$4+3*SQRT($I$4/P2_Data!M16)</f>
        <v/>
      </c>
      <c r="E18" s="84">
        <f>MAX(0,$I$4-3*SQRT($I$4/P2_Data!M16))</f>
        <v/>
      </c>
      <c r="H18" s="87">
        <f>P2_Data!A13</f>
        <v/>
      </c>
      <c r="I18" s="87">
        <f>P2_Data!H13</f>
        <v/>
      </c>
      <c r="J18" s="89">
        <f>$I$5</f>
        <v/>
      </c>
      <c r="K18" s="89">
        <f>MIN(7,$I$5+3*SQRT((1-$I$6)/$I$6^2))</f>
        <v/>
      </c>
      <c r="L18" s="89">
        <f>MAX(0,$I$5-3*SQRT((1-$I$6)/$I$6^2))</f>
        <v/>
      </c>
      <c r="M18" t="n">
        <v>7</v>
      </c>
      <c r="R18">
        <f>P2_Data!A16</f>
        <v/>
      </c>
      <c r="S18">
        <f>P2_Data!H16</f>
        <v/>
      </c>
    </row>
    <row r="19" ht="15" customHeight="1" s="56">
      <c r="A19" s="87">
        <f>P2_Data!A17</f>
        <v/>
      </c>
      <c r="B19" s="84">
        <f>P2_Data!N17</f>
        <v/>
      </c>
      <c r="C19" s="84">
        <f>$I$4</f>
        <v/>
      </c>
      <c r="D19" s="84">
        <f>$I$4+3*SQRT($I$4/P2_Data!M17)</f>
        <v/>
      </c>
      <c r="E19" s="84">
        <f>MAX(0,$I$4-3*SQRT($I$4/P2_Data!M17))</f>
        <v/>
      </c>
      <c r="H19" s="87">
        <f>P2_Data!A14</f>
        <v/>
      </c>
      <c r="I19" s="87">
        <f>P2_Data!H14</f>
        <v/>
      </c>
      <c r="J19" s="89">
        <f>$I$5</f>
        <v/>
      </c>
      <c r="K19" s="89">
        <f>MIN(7,$I$5+3*SQRT((1-$I$6)/$I$6^2))</f>
        <v/>
      </c>
      <c r="L19" s="89">
        <f>MAX(0,$I$5-3*SQRT((1-$I$6)/$I$6^2))</f>
        <v/>
      </c>
      <c r="M19" t="n">
        <v>7</v>
      </c>
      <c r="R19">
        <f>P2_Data!A17</f>
        <v/>
      </c>
      <c r="S19">
        <f>P2_Data!H17</f>
        <v/>
      </c>
    </row>
    <row r="20" ht="15" customHeight="1" s="56">
      <c r="A20" s="87">
        <f>P2_Data!A18</f>
        <v/>
      </c>
      <c r="B20" s="84">
        <f>P2_Data!N18</f>
        <v/>
      </c>
      <c r="C20" s="84">
        <f>$I$4</f>
        <v/>
      </c>
      <c r="D20" s="84">
        <f>$I$4+3*SQRT($I$4/P2_Data!M18)</f>
        <v/>
      </c>
      <c r="E20" s="84">
        <f>MAX(0,$I$4-3*SQRT($I$4/P2_Data!M18))</f>
        <v/>
      </c>
      <c r="H20" s="87">
        <f>P2_Data!A15</f>
        <v/>
      </c>
      <c r="I20" s="87">
        <f>P2_Data!H15</f>
        <v/>
      </c>
      <c r="J20" s="89">
        <f>$I$5</f>
        <v/>
      </c>
      <c r="K20" s="89">
        <f>MIN(7,$I$5+3*SQRT((1-$I$6)/$I$6^2))</f>
        <v/>
      </c>
      <c r="L20" s="89">
        <f>MAX(0,$I$5-3*SQRT((1-$I$6)/$I$6^2))</f>
        <v/>
      </c>
      <c r="M20" t="n">
        <v>7</v>
      </c>
      <c r="R20">
        <f>P2_Data!A18</f>
        <v/>
      </c>
      <c r="S20">
        <f>P2_Data!H18</f>
        <v/>
      </c>
    </row>
    <row r="21" ht="15" customHeight="1" s="56">
      <c r="A21" s="87">
        <f>P2_Data!A19</f>
        <v/>
      </c>
      <c r="B21" s="84">
        <f>P2_Data!N19</f>
        <v/>
      </c>
      <c r="C21" s="84">
        <f>$I$4</f>
        <v/>
      </c>
      <c r="D21" s="84">
        <f>$I$4+3*SQRT($I$4/P2_Data!M19)</f>
        <v/>
      </c>
      <c r="E21" s="84">
        <f>MAX(0,$I$4-3*SQRT($I$4/P2_Data!M19))</f>
        <v/>
      </c>
      <c r="H21" s="87">
        <f>P2_Data!A16</f>
        <v/>
      </c>
      <c r="I21" s="87">
        <f>P2_Data!H16</f>
        <v/>
      </c>
      <c r="J21" s="89">
        <f>$I$5</f>
        <v/>
      </c>
      <c r="K21" s="89">
        <f>MIN(7,$I$5+3*SQRT((1-$I$6)/$I$6^2))</f>
        <v/>
      </c>
      <c r="L21" s="89">
        <f>MAX(0,$I$5-3*SQRT((1-$I$6)/$I$6^2))</f>
        <v/>
      </c>
      <c r="M21" t="n">
        <v>7</v>
      </c>
      <c r="R21">
        <f>P2_Data!A19</f>
        <v/>
      </c>
      <c r="S21">
        <f>P2_Data!H19</f>
        <v/>
      </c>
    </row>
    <row r="22" ht="15" customHeight="1" s="56">
      <c r="A22" s="87">
        <f>P2_Data!A20</f>
        <v/>
      </c>
      <c r="B22" s="84">
        <f>P2_Data!N20</f>
        <v/>
      </c>
      <c r="C22" s="84">
        <f>$I$4</f>
        <v/>
      </c>
      <c r="D22" s="84">
        <f>$I$4+3*SQRT($I$4/P2_Data!M20)</f>
        <v/>
      </c>
      <c r="E22" s="84">
        <f>MAX(0,$I$4-3*SQRT($I$4/P2_Data!M20))</f>
        <v/>
      </c>
      <c r="H22" s="87">
        <f>P2_Data!A17</f>
        <v/>
      </c>
      <c r="I22" s="87">
        <f>P2_Data!H17</f>
        <v/>
      </c>
      <c r="J22" s="89">
        <f>$I$5</f>
        <v/>
      </c>
      <c r="K22" s="89">
        <f>MIN(7,$I$5+3*SQRT((1-$I$6)/$I$6^2))</f>
        <v/>
      </c>
      <c r="L22" s="89">
        <f>MAX(0,$I$5-3*SQRT((1-$I$6)/$I$6^2))</f>
        <v/>
      </c>
      <c r="M22" t="n">
        <v>7</v>
      </c>
      <c r="R22">
        <f>P2_Data!A20</f>
        <v/>
      </c>
      <c r="S22">
        <f>P2_Data!H20</f>
        <v/>
      </c>
    </row>
    <row r="23" ht="15" customHeight="1" s="56">
      <c r="A23" s="87">
        <f>P2_Data!A21</f>
        <v/>
      </c>
      <c r="B23" s="84">
        <f>P2_Data!N21</f>
        <v/>
      </c>
      <c r="C23" s="84">
        <f>$I$4</f>
        <v/>
      </c>
      <c r="D23" s="84">
        <f>$I$4+3*SQRT($I$4/P2_Data!M21)</f>
        <v/>
      </c>
      <c r="E23" s="84">
        <f>MAX(0,$I$4-3*SQRT($I$4/P2_Data!M21))</f>
        <v/>
      </c>
      <c r="H23" s="87">
        <f>P2_Data!A18</f>
        <v/>
      </c>
      <c r="I23" s="87">
        <f>P2_Data!H18</f>
        <v/>
      </c>
      <c r="J23" s="89">
        <f>$I$5</f>
        <v/>
      </c>
      <c r="K23" s="89">
        <f>MIN(7,$I$5+3*SQRT((1-$I$6)/$I$6^2))</f>
        <v/>
      </c>
      <c r="L23" s="89">
        <f>MAX(0,$I$5-3*SQRT((1-$I$6)/$I$6^2))</f>
        <v/>
      </c>
      <c r="M23" t="n">
        <v>7</v>
      </c>
      <c r="R23">
        <f>P2_Data!A21</f>
        <v/>
      </c>
      <c r="S23">
        <f>P2_Data!H21</f>
        <v/>
      </c>
    </row>
    <row r="24" ht="15" customHeight="1" s="56">
      <c r="A24" s="87">
        <f>P2_Data!A22</f>
        <v/>
      </c>
      <c r="B24" s="84">
        <f>P2_Data!N22</f>
        <v/>
      </c>
      <c r="C24" s="84">
        <f>$I$4</f>
        <v/>
      </c>
      <c r="D24" s="84">
        <f>$I$4+3*SQRT($I$4/P2_Data!M22)</f>
        <v/>
      </c>
      <c r="E24" s="84">
        <f>MAX(0,$I$4-3*SQRT($I$4/P2_Data!M22))</f>
        <v/>
      </c>
      <c r="H24" s="87">
        <f>P2_Data!A19</f>
        <v/>
      </c>
      <c r="I24" s="87">
        <f>P2_Data!H19</f>
        <v/>
      </c>
      <c r="J24" s="89">
        <f>$I$5</f>
        <v/>
      </c>
      <c r="K24" s="89">
        <f>MIN(7,$I$5+3*SQRT((1-$I$6)/$I$6^2))</f>
        <v/>
      </c>
      <c r="L24" s="89">
        <f>MAX(0,$I$5-3*SQRT((1-$I$6)/$I$6^2))</f>
        <v/>
      </c>
      <c r="M24" t="n">
        <v>7</v>
      </c>
      <c r="R24">
        <f>P2_Data!A22</f>
        <v/>
      </c>
      <c r="S24">
        <f>P2_Data!H22</f>
        <v/>
      </c>
    </row>
    <row r="25" ht="15" customHeight="1" s="56">
      <c r="A25" s="87">
        <f>P2_Data!A23</f>
        <v/>
      </c>
      <c r="B25" s="84">
        <f>P2_Data!N23</f>
        <v/>
      </c>
      <c r="C25" s="84">
        <f>$I$4</f>
        <v/>
      </c>
      <c r="D25" s="84">
        <f>$I$4+3*SQRT($I$4/P2_Data!M23)</f>
        <v/>
      </c>
      <c r="E25" s="84">
        <f>MAX(0,$I$4-3*SQRT($I$4/P2_Data!M23))</f>
        <v/>
      </c>
      <c r="H25" s="87">
        <f>P2_Data!A20</f>
        <v/>
      </c>
      <c r="I25" s="87">
        <f>P2_Data!H20</f>
        <v/>
      </c>
      <c r="J25" s="89">
        <f>$I$5</f>
        <v/>
      </c>
      <c r="K25" s="89">
        <f>MIN(7,$I$5+3*SQRT((1-$I$6)/$I$6^2))</f>
        <v/>
      </c>
      <c r="L25" s="89">
        <f>MAX(0,$I$5-3*SQRT((1-$I$6)/$I$6^2))</f>
        <v/>
      </c>
      <c r="M25" t="n">
        <v>7</v>
      </c>
      <c r="R25">
        <f>P2_Data!A23</f>
        <v/>
      </c>
      <c r="S25">
        <f>P2_Data!H23</f>
        <v/>
      </c>
    </row>
    <row r="26" ht="15" customHeight="1" s="56">
      <c r="A26" s="87">
        <f>P2_Data!A24</f>
        <v/>
      </c>
      <c r="B26" s="84">
        <f>P2_Data!N24</f>
        <v/>
      </c>
      <c r="C26" s="84">
        <f>$I$4</f>
        <v/>
      </c>
      <c r="D26" s="84">
        <f>$I$4+3*SQRT($I$4/P2_Data!M24)</f>
        <v/>
      </c>
      <c r="E26" s="84">
        <f>MAX(0,$I$4-3*SQRT($I$4/P2_Data!M24))</f>
        <v/>
      </c>
      <c r="H26" s="87">
        <f>P2_Data!A21</f>
        <v/>
      </c>
      <c r="I26" s="87">
        <f>P2_Data!H21</f>
        <v/>
      </c>
      <c r="J26" s="89">
        <f>$I$5</f>
        <v/>
      </c>
      <c r="K26" s="89">
        <f>MIN(7,$I$5+3*SQRT((1-$I$6)/$I$6^2))</f>
        <v/>
      </c>
      <c r="L26" s="89">
        <f>MAX(0,$I$5-3*SQRT((1-$I$6)/$I$6^2))</f>
        <v/>
      </c>
      <c r="M26" t="n">
        <v>7</v>
      </c>
      <c r="R26">
        <f>P2_Data!A24</f>
        <v/>
      </c>
      <c r="S26">
        <f>P2_Data!H24</f>
        <v/>
      </c>
    </row>
    <row r="27" ht="15" customHeight="1" s="56">
      <c r="A27" s="87">
        <f>P2_Data!A25</f>
        <v/>
      </c>
      <c r="B27" s="84">
        <f>P2_Data!N25</f>
        <v/>
      </c>
      <c r="C27" s="84">
        <f>$I$4</f>
        <v/>
      </c>
      <c r="D27" s="84">
        <f>$I$4+3*SQRT($I$4/P2_Data!M25)</f>
        <v/>
      </c>
      <c r="E27" s="84">
        <f>MAX(0,$I$4-3*SQRT($I$4/P2_Data!M25))</f>
        <v/>
      </c>
      <c r="H27" s="87">
        <f>P2_Data!A22</f>
        <v/>
      </c>
      <c r="I27" s="87">
        <f>P2_Data!H22</f>
        <v/>
      </c>
      <c r="J27" s="89">
        <f>$I$5</f>
        <v/>
      </c>
      <c r="K27" s="89">
        <f>MIN(7,$I$5+3*SQRT((1-$I$6)/$I$6^2))</f>
        <v/>
      </c>
      <c r="L27" s="89">
        <f>MAX(0,$I$5-3*SQRT((1-$I$6)/$I$6^2))</f>
        <v/>
      </c>
      <c r="M27" t="n">
        <v>7</v>
      </c>
      <c r="R27">
        <f>P2_Data!A25</f>
        <v/>
      </c>
      <c r="S27">
        <f>P2_Data!H25</f>
        <v/>
      </c>
    </row>
    <row r="28" ht="15" customHeight="1" s="56">
      <c r="A28" s="87">
        <f>P2_Data!A26</f>
        <v/>
      </c>
      <c r="B28" s="84">
        <f>P2_Data!N26</f>
        <v/>
      </c>
      <c r="C28" s="84">
        <f>$I$4</f>
        <v/>
      </c>
      <c r="D28" s="84">
        <f>$I$4+3*SQRT($I$4/P2_Data!M26)</f>
        <v/>
      </c>
      <c r="E28" s="84">
        <f>MAX(0,$I$4-3*SQRT($I$4/P2_Data!M26))</f>
        <v/>
      </c>
      <c r="H28" s="87">
        <f>P2_Data!A23</f>
        <v/>
      </c>
      <c r="I28" s="87">
        <f>P2_Data!H23</f>
        <v/>
      </c>
      <c r="J28" s="89">
        <f>$I$5</f>
        <v/>
      </c>
      <c r="K28" s="89">
        <f>MIN(7,$I$5+3*SQRT((1-$I$6)/$I$6^2))</f>
        <v/>
      </c>
      <c r="L28" s="89">
        <f>MAX(0,$I$5-3*SQRT((1-$I$6)/$I$6^2))</f>
        <v/>
      </c>
      <c r="M28" t="n">
        <v>7</v>
      </c>
      <c r="R28">
        <f>P2_Data!A26</f>
        <v/>
      </c>
      <c r="S28">
        <f>P2_Data!H26</f>
        <v/>
      </c>
    </row>
    <row r="29" ht="15" customHeight="1" s="56">
      <c r="A29" s="87">
        <f>P2_Data!A27</f>
        <v/>
      </c>
      <c r="B29" s="84">
        <f>P2_Data!N27</f>
        <v/>
      </c>
      <c r="C29" s="84">
        <f>$I$4</f>
        <v/>
      </c>
      <c r="D29" s="84">
        <f>$I$4+3*SQRT($I$4/P2_Data!M27)</f>
        <v/>
      </c>
      <c r="E29" s="84">
        <f>MAX(0,$I$4-3*SQRT($I$4/P2_Data!M27))</f>
        <v/>
      </c>
      <c r="H29" s="87">
        <f>P2_Data!A24</f>
        <v/>
      </c>
      <c r="I29" s="87">
        <f>P2_Data!H24</f>
        <v/>
      </c>
      <c r="J29" s="89">
        <f>$I$5</f>
        <v/>
      </c>
      <c r="K29" s="89">
        <f>MIN(7,$I$5+3*SQRT((1-$I$6)/$I$6^2))</f>
        <v/>
      </c>
      <c r="L29" s="89">
        <f>MAX(0,$I$5-3*SQRT((1-$I$6)/$I$6^2))</f>
        <v/>
      </c>
      <c r="M29" t="n">
        <v>7</v>
      </c>
      <c r="R29">
        <f>P2_Data!A27</f>
        <v/>
      </c>
      <c r="S29">
        <f>P2_Data!H27</f>
        <v/>
      </c>
    </row>
    <row r="30" ht="15" customHeight="1" s="56">
      <c r="A30" s="87">
        <f>P2_Data!A28</f>
        <v/>
      </c>
      <c r="B30" s="84">
        <f>P2_Data!N28</f>
        <v/>
      </c>
      <c r="C30" s="84">
        <f>$I$4</f>
        <v/>
      </c>
      <c r="D30" s="84">
        <f>$I$4+3*SQRT($I$4/P2_Data!M28)</f>
        <v/>
      </c>
      <c r="E30" s="84">
        <f>MAX(0,$I$4-3*SQRT($I$4/P2_Data!M28))</f>
        <v/>
      </c>
      <c r="H30" s="87">
        <f>P2_Data!A25</f>
        <v/>
      </c>
      <c r="I30" s="87">
        <f>P2_Data!H25</f>
        <v/>
      </c>
      <c r="J30" s="89">
        <f>$I$5</f>
        <v/>
      </c>
      <c r="K30" s="89">
        <f>MIN(7,$I$5+3*SQRT((1-$I$6)/$I$6^2))</f>
        <v/>
      </c>
      <c r="L30" s="89">
        <f>MAX(0,$I$5-3*SQRT((1-$I$6)/$I$6^2))</f>
        <v/>
      </c>
      <c r="M30" t="n">
        <v>7</v>
      </c>
      <c r="R30">
        <f>P2_Data!A28</f>
        <v/>
      </c>
      <c r="S30">
        <f>P2_Data!H28</f>
        <v/>
      </c>
    </row>
    <row r="31" ht="15" customHeight="1" s="56">
      <c r="A31" s="87">
        <f>P2_Data!A29</f>
        <v/>
      </c>
      <c r="B31" s="84">
        <f>P2_Data!N29</f>
        <v/>
      </c>
      <c r="C31" s="84">
        <f>$I$4</f>
        <v/>
      </c>
      <c r="D31" s="84">
        <f>$I$4+3*SQRT($I$4/P2_Data!M29)</f>
        <v/>
      </c>
      <c r="E31" s="84">
        <f>MAX(0,$I$4-3*SQRT($I$4/P2_Data!M29))</f>
        <v/>
      </c>
      <c r="H31" s="87">
        <f>P2_Data!A26</f>
        <v/>
      </c>
      <c r="I31" s="87">
        <f>P2_Data!H26</f>
        <v/>
      </c>
      <c r="J31" s="89">
        <f>$I$5</f>
        <v/>
      </c>
      <c r="K31" s="89">
        <f>MIN(7,$I$5+3*SQRT((1-$I$6)/$I$6^2))</f>
        <v/>
      </c>
      <c r="L31" s="89">
        <f>MAX(0,$I$5-3*SQRT((1-$I$6)/$I$6^2))</f>
        <v/>
      </c>
      <c r="M31" t="n">
        <v>7</v>
      </c>
      <c r="R31">
        <f>P2_Data!A29</f>
        <v/>
      </c>
      <c r="S31">
        <f>P2_Data!H29</f>
        <v/>
      </c>
    </row>
    <row r="32" ht="15" customHeight="1" s="56">
      <c r="A32" s="87">
        <f>P2_Data!A30</f>
        <v/>
      </c>
      <c r="B32" s="84">
        <f>P2_Data!N30</f>
        <v/>
      </c>
      <c r="C32" s="84">
        <f>$I$4</f>
        <v/>
      </c>
      <c r="D32" s="84">
        <f>$I$4+3*SQRT($I$4/P2_Data!M30)</f>
        <v/>
      </c>
      <c r="E32" s="84">
        <f>MAX(0,$I$4-3*SQRT($I$4/P2_Data!M30))</f>
        <v/>
      </c>
      <c r="H32" s="87">
        <f>P2_Data!A27</f>
        <v/>
      </c>
      <c r="I32" s="87">
        <f>P2_Data!H27</f>
        <v/>
      </c>
      <c r="J32" s="89">
        <f>$I$5</f>
        <v/>
      </c>
      <c r="K32" s="89">
        <f>MIN(7,$I$5+3*SQRT((1-$I$6)/$I$6^2))</f>
        <v/>
      </c>
      <c r="L32" s="89">
        <f>MAX(0,$I$5-3*SQRT((1-$I$6)/$I$6^2))</f>
        <v/>
      </c>
      <c r="M32" t="n">
        <v>7</v>
      </c>
      <c r="R32">
        <f>P2_Data!A30</f>
        <v/>
      </c>
      <c r="S32">
        <f>P2_Data!H30</f>
        <v/>
      </c>
    </row>
    <row r="33" ht="15" customHeight="1" s="56">
      <c r="A33" s="87">
        <f>P2_Data!A31</f>
        <v/>
      </c>
      <c r="B33" s="84">
        <f>P2_Data!N31</f>
        <v/>
      </c>
      <c r="C33" s="84">
        <f>$I$4</f>
        <v/>
      </c>
      <c r="D33" s="84">
        <f>$I$4+3*SQRT($I$4/P2_Data!M31)</f>
        <v/>
      </c>
      <c r="E33" s="84">
        <f>MAX(0,$I$4-3*SQRT($I$4/P2_Data!M31))</f>
        <v/>
      </c>
      <c r="H33" s="87">
        <f>P2_Data!A28</f>
        <v/>
      </c>
      <c r="I33" s="87">
        <f>P2_Data!H28</f>
        <v/>
      </c>
      <c r="J33" s="89">
        <f>$I$5</f>
        <v/>
      </c>
      <c r="K33" s="89">
        <f>MIN(7,$I$5+3*SQRT((1-$I$6)/$I$6^2))</f>
        <v/>
      </c>
      <c r="L33" s="89">
        <f>MAX(0,$I$5-3*SQRT((1-$I$6)/$I$6^2))</f>
        <v/>
      </c>
      <c r="M33" t="n">
        <v>7</v>
      </c>
      <c r="R33">
        <f>P2_Data!A31</f>
        <v/>
      </c>
      <c r="S33">
        <f>P2_Data!H31</f>
        <v/>
      </c>
    </row>
    <row r="34" ht="15" customHeight="1" s="56">
      <c r="A34" s="87">
        <f>P2_Data!A32</f>
        <v/>
      </c>
      <c r="B34" s="84">
        <f>P2_Data!N32</f>
        <v/>
      </c>
      <c r="C34" s="84">
        <f>$I$4</f>
        <v/>
      </c>
      <c r="D34" s="84">
        <f>$I$4+3*SQRT($I$4/P2_Data!M32)</f>
        <v/>
      </c>
      <c r="E34" s="84">
        <f>MAX(0,$I$4-3*SQRT($I$4/P2_Data!M32))</f>
        <v/>
      </c>
      <c r="H34" s="87">
        <f>P2_Data!A29</f>
        <v/>
      </c>
      <c r="I34" s="87">
        <f>P2_Data!H29</f>
        <v/>
      </c>
      <c r="J34" s="89">
        <f>$I$5</f>
        <v/>
      </c>
      <c r="K34" s="89">
        <f>MIN(7,$I$5+3*SQRT((1-$I$6)/$I$6^2))</f>
        <v/>
      </c>
      <c r="L34" s="89">
        <f>MAX(0,$I$5-3*SQRT((1-$I$6)/$I$6^2))</f>
        <v/>
      </c>
      <c r="M34" t="n">
        <v>7</v>
      </c>
      <c r="R34">
        <f>P2_Data!A32</f>
        <v/>
      </c>
      <c r="S34">
        <f>P2_Data!H32</f>
        <v/>
      </c>
    </row>
    <row r="35" ht="15" customHeight="1" s="56">
      <c r="A35" s="87">
        <f>P2_Data!A33</f>
        <v/>
      </c>
      <c r="B35" s="84">
        <f>P2_Data!N33</f>
        <v/>
      </c>
      <c r="C35" s="84">
        <f>$I$4</f>
        <v/>
      </c>
      <c r="D35" s="84">
        <f>$I$4+3*SQRT($I$4/P2_Data!M33)</f>
        <v/>
      </c>
      <c r="E35" s="84">
        <f>MAX(0,$I$4-3*SQRT($I$4/P2_Data!M33))</f>
        <v/>
      </c>
      <c r="H35" s="87">
        <f>P2_Data!A30</f>
        <v/>
      </c>
      <c r="I35" s="87">
        <f>P2_Data!H30</f>
        <v/>
      </c>
      <c r="J35" s="89">
        <f>$I$5</f>
        <v/>
      </c>
      <c r="K35" s="89">
        <f>MIN(7,$I$5+3*SQRT((1-$I$6)/$I$6^2))</f>
        <v/>
      </c>
      <c r="L35" s="89">
        <f>MAX(0,$I$5-3*SQRT((1-$I$6)/$I$6^2))</f>
        <v/>
      </c>
      <c r="M35" t="n">
        <v>7</v>
      </c>
      <c r="R35">
        <f>P2_Data!A33</f>
        <v/>
      </c>
      <c r="S35">
        <f>P2_Data!H33</f>
        <v/>
      </c>
    </row>
    <row r="36" ht="15" customHeight="1" s="56">
      <c r="A36" s="87">
        <f>P2_Data!A34</f>
        <v/>
      </c>
      <c r="B36" s="84">
        <f>P2_Data!N34</f>
        <v/>
      </c>
      <c r="C36" s="84">
        <f>$I$4</f>
        <v/>
      </c>
      <c r="D36" s="84">
        <f>$I$4+3*SQRT($I$4/P2_Data!M34)</f>
        <v/>
      </c>
      <c r="E36" s="84">
        <f>MAX(0,$I$4-3*SQRT($I$4/P2_Data!M34))</f>
        <v/>
      </c>
      <c r="H36" s="87">
        <f>P2_Data!A31</f>
        <v/>
      </c>
      <c r="I36" s="87">
        <f>P2_Data!H31</f>
        <v/>
      </c>
      <c r="J36" s="89">
        <f>$I$5</f>
        <v/>
      </c>
      <c r="K36" s="89">
        <f>MIN(7,$I$5+3*SQRT((1-$I$6)/$I$6^2))</f>
        <v/>
      </c>
      <c r="L36" s="89">
        <f>MAX(0,$I$5-3*SQRT((1-$I$6)/$I$6^2))</f>
        <v/>
      </c>
      <c r="M36" t="n">
        <v>7</v>
      </c>
      <c r="R36">
        <f>P2_Data!A34</f>
        <v/>
      </c>
      <c r="S36">
        <f>P2_Data!H34</f>
        <v/>
      </c>
    </row>
    <row r="37" ht="15" customHeight="1" s="56">
      <c r="A37" s="87">
        <f>P2_Data!A35</f>
        <v/>
      </c>
      <c r="B37" s="84">
        <f>P2_Data!N35</f>
        <v/>
      </c>
      <c r="C37" s="84">
        <f>$I$4</f>
        <v/>
      </c>
      <c r="D37" s="84">
        <f>$I$4+3*SQRT($I$4/P2_Data!M35)</f>
        <v/>
      </c>
      <c r="E37" s="84">
        <f>MAX(0,$I$4-3*SQRT($I$4/P2_Data!M35))</f>
        <v/>
      </c>
      <c r="H37" s="87">
        <f>P2_Data!A32</f>
        <v/>
      </c>
      <c r="I37" s="87">
        <f>P2_Data!H32</f>
        <v/>
      </c>
      <c r="J37" s="89">
        <f>$I$5</f>
        <v/>
      </c>
      <c r="K37" s="89">
        <f>MIN(7,$I$5+3*SQRT((1-$I$6)/$I$6^2))</f>
        <v/>
      </c>
      <c r="L37" s="89">
        <f>MAX(0,$I$5-3*SQRT((1-$I$6)/$I$6^2))</f>
        <v/>
      </c>
      <c r="M37" t="n">
        <v>7</v>
      </c>
      <c r="R37">
        <f>P2_Data!A35</f>
        <v/>
      </c>
      <c r="S37">
        <f>P2_Data!H35</f>
        <v/>
      </c>
    </row>
    <row r="38" ht="15" customHeight="1" s="56">
      <c r="A38" s="87">
        <f>P2_Data!A36</f>
        <v/>
      </c>
      <c r="B38" s="84">
        <f>P2_Data!N36</f>
        <v/>
      </c>
      <c r="C38" s="84">
        <f>$I$4</f>
        <v/>
      </c>
      <c r="D38" s="84">
        <f>$I$4+3*SQRT($I$4/P2_Data!M36)</f>
        <v/>
      </c>
      <c r="E38" s="84">
        <f>MAX(0,$I$4-3*SQRT($I$4/P2_Data!M36))</f>
        <v/>
      </c>
      <c r="H38" s="87">
        <f>P2_Data!A33</f>
        <v/>
      </c>
      <c r="I38" s="87">
        <f>P2_Data!H33</f>
        <v/>
      </c>
      <c r="J38" s="89">
        <f>$I$5</f>
        <v/>
      </c>
      <c r="K38" s="89">
        <f>MIN(7,$I$5+3*SQRT((1-$I$6)/$I$6^2))</f>
        <v/>
      </c>
      <c r="L38" s="89">
        <f>MAX(0,$I$5-3*SQRT((1-$I$6)/$I$6^2))</f>
        <v/>
      </c>
      <c r="M38" t="n">
        <v>7</v>
      </c>
      <c r="R38">
        <f>P2_Data!A36</f>
        <v/>
      </c>
      <c r="S38">
        <f>P2_Data!H36</f>
        <v/>
      </c>
    </row>
    <row r="39" ht="15" customHeight="1" s="56">
      <c r="H39" s="87">
        <f>P2_Data!A34</f>
        <v/>
      </c>
      <c r="I39" s="87">
        <f>P2_Data!H34</f>
        <v/>
      </c>
      <c r="J39" s="89">
        <f>$I$5</f>
        <v/>
      </c>
      <c r="K39" s="89">
        <f>MIN(7,$I$5+3*SQRT((1-$I$6)/$I$6^2))</f>
        <v/>
      </c>
      <c r="L39" s="89">
        <f>MAX(0,$I$5-3*SQRT((1-$I$6)/$I$6^2))</f>
        <v/>
      </c>
      <c r="M39" t="n">
        <v>7</v>
      </c>
    </row>
    <row r="40" ht="15" customHeight="1" s="56">
      <c r="H40" s="87">
        <f>P2_Data!A35</f>
        <v/>
      </c>
      <c r="I40" s="87">
        <f>P2_Data!H35</f>
        <v/>
      </c>
      <c r="J40" s="89">
        <f>$I$5</f>
        <v/>
      </c>
      <c r="K40" s="89">
        <f>MIN(7,$I$5+3*SQRT((1-$I$6)/$I$6^2))</f>
        <v/>
      </c>
      <c r="L40" s="89">
        <f>MAX(0,$I$5-3*SQRT((1-$I$6)/$I$6^2))</f>
        <v/>
      </c>
      <c r="M40" t="n">
        <v>7</v>
      </c>
    </row>
    <row r="41" ht="15" customHeight="1" s="56">
      <c r="H41" s="87">
        <f>P2_Data!A36</f>
        <v/>
      </c>
      <c r="I41" s="87">
        <f>P2_Data!H36</f>
        <v/>
      </c>
      <c r="J41" s="89">
        <f>$I$5</f>
        <v/>
      </c>
      <c r="K41" s="89">
        <f>MIN(7,$I$5+3*SQRT((1-$I$6)/$I$6^2))</f>
        <v/>
      </c>
      <c r="L41" s="89">
        <f>MAX(0,$I$5-3*SQRT((1-$I$6)/$I$6^2))</f>
        <v/>
      </c>
      <c r="M41" t="n">
        <v>7</v>
      </c>
    </row>
    <row r="56" ht="15" customHeight="1" s="56">
      <c r="H56" s="61" t="inlineStr">
        <is>
          <t>g-chart boundary note</t>
        </is>
      </c>
    </row>
    <row r="57" ht="15" customHeight="1" s="56">
      <c r="H57" s="95" t="inlineStr">
        <is>
          <t>The calculated geometric UCL exceeds the physical maximum of seven pieces. Therefore, the g-chart is interpreted as a relative monitoring chart, while the practical upper boundary is seven pieces, representing a completed defect-free assembly. (UCL is capped at 7 in the table for realism.)</t>
        </is>
      </c>
    </row>
    <row r="58" ht="15" customHeight="1" s="56"/>
    <row r="59" ht="15" customHeight="1" s="56"/>
    <row r="60" ht="15" customHeight="1" s="56">
      <c r="A60" s="61" t="inlineStr">
        <is>
          <t>PARETO — Process 2 defects by colour</t>
        </is>
      </c>
    </row>
    <row r="61" ht="15" customHeight="1" s="56">
      <c r="A61" s="85" t="inlineStr">
        <is>
          <t>Colour</t>
        </is>
      </c>
      <c r="B61" s="85" t="inlineStr">
        <is>
          <t>Defects</t>
        </is>
      </c>
      <c r="C61" s="85" t="inlineStr">
        <is>
          <t>Cum %</t>
        </is>
      </c>
      <c r="D61" t="inlineStr">
        <is>
          <t>80% line</t>
        </is>
      </c>
    </row>
    <row r="62" ht="15" customHeight="1" s="56">
      <c r="A62" s="87" t="inlineStr">
        <is>
          <t>Orange</t>
        </is>
      </c>
      <c r="B62" s="87">
        <f>COUNTIF(P2_Data!$G$7:$G$36,A62)</f>
        <v/>
      </c>
      <c r="C62" s="94">
        <f>SUM($B$62:B62)/30</f>
        <v/>
      </c>
      <c r="D62" t="n">
        <v>0.8</v>
      </c>
      <c r="H62" s="61" t="inlineStr">
        <is>
          <t>Western Electric Rule Checks (u-chart)</t>
        </is>
      </c>
    </row>
    <row r="63" ht="15" customHeight="1" s="56">
      <c r="A63" s="87" t="inlineStr">
        <is>
          <t>Red</t>
        </is>
      </c>
      <c r="B63" s="87">
        <f>COUNTIF(P2_Data!$G$7:$G$36,A63)</f>
        <v/>
      </c>
      <c r="C63" s="94">
        <f>SUM($B$62:B63)/30</f>
        <v/>
      </c>
      <c r="D63" t="n">
        <v>0.8</v>
      </c>
      <c r="H63" s="64" t="inlineStr">
        <is>
          <t>Rule</t>
        </is>
      </c>
      <c r="I63" s="64" t="inlineStr">
        <is>
          <t>Description</t>
        </is>
      </c>
      <c r="J63" s="64" t="inlineStr">
        <is>
          <t>Triggered?</t>
        </is>
      </c>
    </row>
    <row r="64" ht="15" customHeight="1" s="56">
      <c r="A64" s="87" t="inlineStr">
        <is>
          <t>Yellow</t>
        </is>
      </c>
      <c r="B64" s="87">
        <f>COUNTIF(P2_Data!$G$7:$G$36,A64)</f>
        <v/>
      </c>
      <c r="C64" s="94">
        <f>SUM($B$62:B64)/30</f>
        <v/>
      </c>
      <c r="D64" t="n">
        <v>0.8</v>
      </c>
      <c r="H64" s="68" t="inlineStr">
        <is>
          <t>Rule 1</t>
        </is>
      </c>
      <c r="I64" s="68" t="inlineStr">
        <is>
          <t>1 point beyond 3σ</t>
        </is>
      </c>
      <c r="J64" s="68">
        <f>IF(SUMPRODUCT((B9:B38&gt;D9:D38)*1)&gt;0,"YES","No")</f>
        <v/>
      </c>
    </row>
    <row r="65" ht="15" customHeight="1" s="56">
      <c r="A65" s="87" t="inlineStr">
        <is>
          <t>Dark Blue</t>
        </is>
      </c>
      <c r="B65" s="87">
        <f>COUNTIF(P2_Data!$G$7:$G$36,A65)</f>
        <v/>
      </c>
      <c r="C65" s="94">
        <f>SUM($B$62:B65)/30</f>
        <v/>
      </c>
      <c r="D65" t="n">
        <v>0.8</v>
      </c>
      <c r="H65" s="68" t="inlineStr">
        <is>
          <t>Rule 2</t>
        </is>
      </c>
      <c r="I65" s="68" t="inlineStr">
        <is>
          <t>2 of 3 beyond 2σ</t>
        </is>
      </c>
      <c r="J65" s="68" t="inlineStr">
        <is>
          <t>Manual review</t>
        </is>
      </c>
    </row>
    <row r="66" ht="15" customHeight="1" s="56">
      <c r="A66" s="87" t="inlineStr">
        <is>
          <t>White</t>
        </is>
      </c>
      <c r="B66" s="87">
        <f>COUNTIF(P2_Data!$G$7:$G$36,A66)</f>
        <v/>
      </c>
      <c r="C66" s="94">
        <f>SUM($B$62:B66)/30</f>
        <v/>
      </c>
      <c r="D66" t="n">
        <v>0.8</v>
      </c>
      <c r="H66" s="68" t="inlineStr">
        <is>
          <t>Rule 4</t>
        </is>
      </c>
      <c r="I66" s="68" t="inlineStr">
        <is>
          <t>8 consecutive one side</t>
        </is>
      </c>
      <c r="J66" s="68">
        <f>IF(MAX(FREQUENCY(IF(B9:B38&gt;C9:C38,ROW(B9:B38)),IF(B9:B38&lt;=C9:C38,ROW(B9:B38))))&gt;=8,"YES","No")</f>
        <v/>
      </c>
    </row>
    <row r="67" ht="15" customHeight="1" s="56">
      <c r="A67" s="87" t="inlineStr">
        <is>
          <t>Light Blue</t>
        </is>
      </c>
      <c r="B67" s="87">
        <f>COUNTIF(P2_Data!$G$7:$G$36,A67)</f>
        <v/>
      </c>
      <c r="C67" s="94">
        <f>SUM($B$62:B67)/30</f>
        <v/>
      </c>
      <c r="D67" t="n">
        <v>0.8</v>
      </c>
    </row>
    <row r="68" ht="15" customHeight="1" s="56">
      <c r="A68" s="87" t="inlineStr">
        <is>
          <t>Green</t>
        </is>
      </c>
      <c r="B68" s="87">
        <f>COUNTIF(P2_Data!$G$7:$G$36,A68)</f>
        <v/>
      </c>
      <c r="C68" s="94">
        <f>SUM($B$62:B68)/30</f>
        <v/>
      </c>
      <c r="D68" t="n">
        <v>0.8</v>
      </c>
    </row>
    <row r="85" ht="15" customHeight="1" s="56">
      <c r="A85" s="63" t="inlineStr">
        <is>
          <t>Interpretation: Process 2 averages g≈4 acceptable pieces before a defect forces a discard, so most runs fail before the full seven-piece figurine is completed. The u-chart shows defects-per-opportunity scattered around ū with run-specific limits (limits widen for shorter runs). Pareto shows Orange and Red dominate the discard-causing defects, mirroring Process 1 and pointing to the same supplier/colour assignable cause. A higher g is operationally favourable; a hypothetical full assembly (g=7) would be statistically high but a good outcome, not an alarm.</t>
        </is>
      </c>
    </row>
    <row r="86" ht="15" customHeight="1" s="56"/>
    <row r="87" ht="15" customHeight="1" s="56"/>
    <row r="88" ht="15" customHeight="1" s="56"/>
    <row r="89" ht="15" customHeight="1" s="56"/>
    <row r="90" ht="15" customHeight="1" s="56"/>
    <row r="91" ht="15" customHeight="1" s="56"/>
    <row r="92" ht="15" customHeight="1" s="56"/>
    <row r="95" ht="15" customHeight="1" s="56">
      <c r="A95" s="61" t="inlineStr">
        <is>
          <t>Assignable Cause Analysis — Process 2</t>
        </is>
      </c>
    </row>
    <row r="96" ht="23.25" customHeight="1" s="56">
      <c r="A96" s="85" t="inlineStr">
        <is>
          <t>Sample_or_Run</t>
        </is>
      </c>
      <c r="B96" s="85" t="inlineStr">
        <is>
          <t>Signal_Observed</t>
        </is>
      </c>
      <c r="C96" s="85" t="inlineStr">
        <is>
          <t>Possible_Assignable_Cause</t>
        </is>
      </c>
      <c r="D96" s="85" t="inlineStr">
        <is>
          <t>Evidence_From_Data</t>
        </is>
      </c>
      <c r="E96" s="85" t="inlineStr">
        <is>
          <t>Retain_or_Exclude</t>
        </is>
      </c>
      <c r="F96" s="85" t="inlineStr">
        <is>
          <t>Reason</t>
        </is>
      </c>
      <c r="G96" s="85" t="inlineStr">
        <is>
          <t>Recommended_Action</t>
        </is>
      </c>
    </row>
    <row r="97" ht="34.5" customHeight="1" s="56">
      <c r="A97" s="68" t="inlineStr">
        <is>
          <t>Runs with g≤3</t>
        </is>
      </c>
      <c r="B97" s="68" t="inlineStr">
        <is>
          <t>Early discard</t>
        </is>
      </c>
      <c r="C97" s="68" t="inlineStr">
        <is>
          <t>High-defect colour reached early</t>
        </is>
      </c>
      <c r="D97" s="68" t="inlineStr">
        <is>
          <t>Orange/Red dominate Pareto, discarded early</t>
        </is>
      </c>
      <c r="E97" s="68" t="inlineStr">
        <is>
          <t>Retain</t>
        </is>
      </c>
      <c r="F97" s="68" t="inlineStr">
        <is>
          <t>True operational pattern</t>
        </is>
      </c>
      <c r="G97" s="68" t="inlineStr">
        <is>
          <t>Re-order bin pick sequence; place low-defect colours first</t>
        </is>
      </c>
    </row>
    <row r="98" ht="23.25" customHeight="1" s="56">
      <c r="A98" s="68" t="inlineStr">
        <is>
          <t>Orange/Red runs</t>
        </is>
      </c>
      <c r="B98" s="68" t="inlineStr">
        <is>
          <t>Frequent discards</t>
        </is>
      </c>
      <c r="C98" s="68" t="inlineStr">
        <is>
          <t>Supplier-related defect concentration</t>
        </is>
      </c>
      <c r="D98" s="68" t="inlineStr">
        <is>
          <t>Orange 10 + Red 10 = 67% of defects</t>
        </is>
      </c>
      <c r="E98" s="68" t="inlineStr">
        <is>
          <t>Retain</t>
        </is>
      </c>
      <c r="F98" s="68" t="inlineStr">
        <is>
          <t>Genuine</t>
        </is>
      </c>
      <c r="G98" s="68" t="inlineStr">
        <is>
          <t>Supplier audit</t>
        </is>
      </c>
    </row>
    <row r="99" ht="23.25" customHeight="1" s="56">
      <c r="A99" s="68" t="inlineStr">
        <is>
          <t>Runs with g=6</t>
        </is>
      </c>
      <c r="B99" s="68" t="inlineStr">
        <is>
          <t>Late defect</t>
        </is>
      </c>
      <c r="C99" s="68" t="inlineStr">
        <is>
          <t>Favourable (near completion)</t>
        </is>
      </c>
      <c r="D99" s="68" t="inlineStr">
        <is>
          <t>High g operationally good</t>
        </is>
      </c>
      <c r="E99" s="68" t="inlineStr">
        <is>
          <t>Retain</t>
        </is>
      </c>
      <c r="F99" s="68" t="inlineStr">
        <is>
          <t>Not an alarm</t>
        </is>
      </c>
      <c r="G99" s="68" t="inlineStr">
        <is>
          <t>None needed</t>
        </is>
      </c>
    </row>
    <row r="100" ht="23.25" customHeight="1" s="56">
      <c r="A100" s="68" t="inlineStr">
        <is>
          <t>No g=7 observed</t>
        </is>
      </c>
      <c r="B100" s="68" t="inlineStr">
        <is>
          <t>No completed assemblies</t>
        </is>
      </c>
      <c r="C100" s="68" t="inlineStr">
        <is>
          <t>Process feeds high-defect material</t>
        </is>
      </c>
      <c r="D100" s="68" t="inlineStr">
        <is>
          <t>0 completed in 30 runs</t>
        </is>
      </c>
      <c r="E100" s="68" t="inlineStr">
        <is>
          <t>N/A</t>
        </is>
      </c>
      <c r="F100" s="68" t="inlineStr">
        <is>
          <t>Reflects current capability</t>
        </is>
      </c>
      <c r="G100" s="68" t="inlineStr">
        <is>
          <t>Reduce upstream defects</t>
        </is>
      </c>
    </row>
    <row r="121">
      <c r="A121" t="inlineStr">
        <is>
          <t>Caption: u-chart shows defects per opportunity with run-specific control limits.</t>
        </is>
      </c>
      <c r="I121" t="inlineStr">
        <is>
          <t>Caption: g-chart focuses on intervals to defect; higher g indicates better operation.</t>
        </is>
      </c>
    </row>
    <row r="141">
      <c r="A141" t="inlineStr">
        <is>
          <t>Caption: Pareto ranks defect colours and cumulative contribution (80% reference shown).</t>
        </is>
      </c>
      <c r="I141" t="inlineStr">
        <is>
          <t>Caption: Run sequence chart magnifies g variation while keeping physical max at 7.</t>
        </is>
      </c>
    </row>
    <row r="143">
      <c r="A143" t="inlineStr">
        <is>
          <t>Note: If geometric UCL exceeds 7, interpret 7 as the physical practical maximum for tangram pieces.</t>
        </is>
      </c>
    </row>
  </sheetData>
  <mergeCells count="2">
    <mergeCell ref="A85:I92"/>
    <mergeCell ref="H57:L6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6.xml><?xml version="1.0" encoding="utf-8"?>
<worksheet xmlns="http://schemas.openxmlformats.org/spreadsheetml/2006/main">
  <sheetPr filterMode="0">
    <outlinePr summaryBelow="1" summaryRight="1"/>
    <pageSetUpPr fitToPage="0"/>
  </sheetPr>
  <dimension ref="A1:I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55" min="1" max="1"/>
    <col width="14" customWidth="1" style="55" min="2" max="3"/>
    <col width="10" customWidth="1" style="55" min="4" max="4"/>
    <col width="3" customWidth="1" style="55" min="5" max="5"/>
    <col width="26" customWidth="1" style="55" min="6" max="6"/>
    <col width="10" customWidth="1" style="55" min="7" max="7"/>
    <col width="14" customWidth="1" style="55" min="8" max="9"/>
  </cols>
  <sheetData>
    <row r="1" ht="17.25" customHeight="1" s="56">
      <c r="A1" s="57" t="inlineStr">
        <is>
          <t>Process Comparison — DPMO, Hypothesis Test, Cost &amp; Throughput</t>
        </is>
      </c>
    </row>
    <row r="3" ht="15" customHeight="1" s="56">
      <c r="A3" s="61" t="inlineStr">
        <is>
          <t>1. DPMO &amp; 2-sigma capability</t>
        </is>
      </c>
      <c r="F3" s="61" t="inlineStr">
        <is>
          <t>3. Cost &amp; Throughput</t>
        </is>
      </c>
    </row>
    <row r="4" ht="15" customHeight="1" s="56">
      <c r="A4" s="85" t="inlineStr">
        <is>
          <t>Metric</t>
        </is>
      </c>
      <c r="B4" s="85" t="inlineStr">
        <is>
          <t>Process 1</t>
        </is>
      </c>
      <c r="C4" s="85" t="inlineStr">
        <is>
          <t>Process 2</t>
        </is>
      </c>
      <c r="D4" s="85" t="inlineStr">
        <is>
          <t>Better</t>
        </is>
      </c>
      <c r="F4" s="60" t="inlineStr">
        <is>
          <t>Assumptions (completed assemblies in notes are not fully captured; uncertainty flagged where needed)</t>
        </is>
      </c>
    </row>
    <row r="5" ht="15" customHeight="1" s="56">
      <c r="A5" s="82" t="inlineStr">
        <is>
          <t>Total defects</t>
        </is>
      </c>
      <c r="B5" s="87">
        <f>SUM(P1_Data!K7:K48)</f>
        <v/>
      </c>
      <c r="C5" s="87">
        <f>SUM(P2_Data!J7:J36)</f>
        <v/>
      </c>
      <c r="F5" s="87" t="inlineStr">
        <is>
          <t>Piece cost (R)</t>
        </is>
      </c>
      <c r="G5" s="96" t="n">
        <v>2</v>
      </c>
    </row>
    <row r="6" ht="15" customHeight="1" s="56">
      <c r="A6" s="82" t="inlineStr">
        <is>
          <t>Total opportunities</t>
        </is>
      </c>
      <c r="B6" s="87">
        <f>SUM(P1_Data!J7:J48)</f>
        <v/>
      </c>
      <c r="C6" s="87">
        <f>SUM(P2_Data!M7:M36)</f>
        <v/>
      </c>
      <c r="F6" s="87" t="inlineStr">
        <is>
          <t>Board cost (R)</t>
        </is>
      </c>
      <c r="G6" s="96" t="n">
        <v>5</v>
      </c>
    </row>
    <row r="7" ht="15" customHeight="1" s="56">
      <c r="A7" s="82" t="inlineStr">
        <is>
          <t>Defect rate (p)</t>
        </is>
      </c>
      <c r="B7" s="84">
        <f>B5/B6</f>
        <v/>
      </c>
      <c r="C7" s="84">
        <f>C5/C6</f>
        <v/>
      </c>
      <c r="D7" s="59">
        <f>IF(B7&lt;C7,"P1","P2")</f>
        <v/>
      </c>
      <c r="F7" s="87" t="inlineStr">
        <is>
          <t>Discard cost (R)</t>
        </is>
      </c>
      <c r="G7" s="96" t="n">
        <v>20</v>
      </c>
    </row>
    <row r="8" ht="15" customHeight="1" s="56">
      <c r="A8" s="82" t="inlineStr">
        <is>
          <t>DPMO</t>
        </is>
      </c>
      <c r="B8" s="97">
        <f>B7*1000000</f>
        <v/>
      </c>
      <c r="C8" s="97">
        <f>C7*1000000</f>
        <v/>
      </c>
      <c r="D8" s="59">
        <f>IF(B8&lt;C8,"P1","P2")</f>
        <v/>
      </c>
      <c r="F8" s="87" t="inlineStr">
        <is>
          <t>Selling price (R)</t>
        </is>
      </c>
      <c r="G8" s="96" t="n">
        <v>25</v>
      </c>
    </row>
    <row r="9" ht="15" customHeight="1" s="56">
      <c r="A9" s="82" t="inlineStr">
        <is>
          <t>2-sigma benchmark</t>
        </is>
      </c>
      <c r="B9" s="97" t="n">
        <v>308537</v>
      </c>
      <c r="C9" s="97" t="n">
        <v>308537</v>
      </c>
      <c r="F9" s="87" t="inlineStr">
        <is>
          <t>P1 completed assemblies</t>
        </is>
      </c>
      <c r="G9" s="96">
        <f>IF(COUNTA(P1_Data!P7:P48)=0,"uncertain",SUM(P1_Data!P7:P48))</f>
        <v/>
      </c>
    </row>
    <row r="10" ht="15" customHeight="1" s="56">
      <c r="A10" s="82" t="inlineStr">
        <is>
          <t>Meets 2-sigma? (DPMO&lt;bench)</t>
        </is>
      </c>
      <c r="B10" s="87">
        <f>IF(B8&lt;B9,"YES","NO")</f>
        <v/>
      </c>
      <c r="C10" s="87">
        <f>IF(C8&lt;C9,"YES","NO")</f>
        <v/>
      </c>
      <c r="F10" s="87" t="inlineStr">
        <is>
          <t>P2 completed assemblies</t>
        </is>
      </c>
      <c r="G10" s="96">
        <f>IF(COUNTA(P2_Data!L7:L36)=0,"uncertain",SUM(P2_Data!L7:L36))</f>
        <v/>
      </c>
    </row>
    <row r="11" ht="15" customHeight="1" s="56">
      <c r="F11" s="87" t="inlineStr">
        <is>
          <t>P1 time (min)</t>
        </is>
      </c>
      <c r="G11" s="96" t="n">
        <v>15</v>
      </c>
    </row>
    <row r="12" ht="15" customHeight="1" s="56">
      <c r="A12" s="60" t="inlineStr">
        <is>
          <t>Process 1 fails the 2-sigma benchmark (DPMO above 308,537); Process 2 passes (DPMO below 308,537).</t>
        </is>
      </c>
      <c r="F12" s="87" t="inlineStr">
        <is>
          <t>P2 time (min)</t>
        </is>
      </c>
      <c r="G12" s="96" t="n">
        <v>9.210000000000001</v>
      </c>
    </row>
    <row r="14" ht="15" customHeight="1" s="56">
      <c r="A14" s="61" t="inlineStr">
        <is>
          <t>2. Two-proportion z-test (H0: p1=p2  vs  H1: p1≠p2)</t>
        </is>
      </c>
    </row>
    <row r="15" ht="15" customHeight="1" s="56">
      <c r="A15" s="82" t="inlineStr">
        <is>
          <t>x1 (P1 defects)</t>
        </is>
      </c>
      <c r="B15" s="87">
        <f>B5</f>
        <v/>
      </c>
      <c r="F15" s="85" t="inlineStr">
        <is>
          <t>Cost / output</t>
        </is>
      </c>
      <c r="G15" s="85" t="inlineStr">
        <is>
          <t>Process 1</t>
        </is>
      </c>
      <c r="H15" s="85" t="inlineStr">
        <is>
          <t>Process 2</t>
        </is>
      </c>
    </row>
    <row r="16" ht="15" customHeight="1" s="56">
      <c r="A16" s="82" t="inlineStr">
        <is>
          <t>n1 (P1 pieces)</t>
        </is>
      </c>
      <c r="B16" s="87">
        <f>B6</f>
        <v/>
      </c>
      <c r="F16" s="82" t="inlineStr">
        <is>
          <t>Pieces consumed</t>
        </is>
      </c>
      <c r="H16" s="87">
        <f>B6</f>
        <v/>
      </c>
      <c r="I16" s="87">
        <f>C6</f>
        <v/>
      </c>
    </row>
    <row r="17" ht="15" customHeight="1" s="56">
      <c r="A17" s="82" t="inlineStr">
        <is>
          <t>x2 (P2 defects)</t>
        </is>
      </c>
      <c r="B17" s="87">
        <f>C5</f>
        <v/>
      </c>
      <c r="F17" s="82" t="inlineStr">
        <is>
          <t>Material (pieces) cost</t>
        </is>
      </c>
      <c r="H17" s="97">
        <f>H16*G5</f>
        <v/>
      </c>
      <c r="I17" s="97">
        <f>I16*G5</f>
        <v/>
      </c>
    </row>
    <row r="18" ht="15" customHeight="1" s="56">
      <c r="A18" s="82" t="inlineStr">
        <is>
          <t>n2 (P2 opp.)</t>
        </is>
      </c>
      <c r="B18" s="87">
        <f>C6</f>
        <v/>
      </c>
      <c r="F18" s="82" t="inlineStr">
        <is>
          <t>Discard cost</t>
        </is>
      </c>
      <c r="H18" s="97">
        <f>0</f>
        <v/>
      </c>
      <c r="I18" s="97">
        <f>SUM(P2_Data!K7:K36)*G7</f>
        <v/>
      </c>
    </row>
    <row r="19" ht="15" customHeight="1" s="56">
      <c r="A19" s="82" t="inlineStr">
        <is>
          <t>p1</t>
        </is>
      </c>
      <c r="B19" s="83">
        <f>B15/B16</f>
        <v/>
      </c>
      <c r="F19" s="82" t="inlineStr">
        <is>
          <t>Revenue (completed×price)</t>
        </is>
      </c>
      <c r="H19" s="97">
        <f>IF(ISNUMBER(G9),G9*G8,0)</f>
        <v/>
      </c>
      <c r="I19" s="97">
        <f>IF(ISNUMBER(G10),G10*G8,0)</f>
        <v/>
      </c>
    </row>
    <row r="20" ht="15" customHeight="1" s="56">
      <c r="A20" s="82" t="inlineStr">
        <is>
          <t>p2</t>
        </is>
      </c>
      <c r="B20" s="83">
        <f>B17/B18</f>
        <v/>
      </c>
      <c r="F20" s="82" t="inlineStr">
        <is>
          <t>Total cost</t>
        </is>
      </c>
      <c r="H20" s="97">
        <f>H17+H18</f>
        <v/>
      </c>
      <c r="I20" s="97">
        <f>I17+I18</f>
        <v/>
      </c>
    </row>
    <row r="21" ht="15" customHeight="1" s="56">
      <c r="A21" s="82" t="inlineStr">
        <is>
          <t>pooled p</t>
        </is>
      </c>
      <c r="B21" s="83">
        <f>(B15+B17)/(B16+B18)</f>
        <v/>
      </c>
      <c r="F21" s="82" t="inlineStr">
        <is>
          <t>Profit / (loss)</t>
        </is>
      </c>
      <c r="H21" s="97">
        <f>H19-H20</f>
        <v/>
      </c>
      <c r="I21" s="97">
        <f>I19-I20</f>
        <v/>
      </c>
    </row>
    <row r="22" ht="15" customHeight="1" s="56">
      <c r="A22" s="82" t="inlineStr">
        <is>
          <t>SE</t>
        </is>
      </c>
      <c r="B22" s="83">
        <f>SQRT(B21*(1-B21)*(1/B16+1/B18))</f>
        <v/>
      </c>
      <c r="F22" s="82" t="inlineStr">
        <is>
          <t>Throughput (assemblies)</t>
        </is>
      </c>
      <c r="H22" s="87">
        <f>IF(ISNUMBER(G9),G9,"uncertain")</f>
        <v/>
      </c>
      <c r="I22" s="87">
        <f>IF(ISNUMBER(G10),G10,"uncertain")</f>
        <v/>
      </c>
    </row>
    <row r="23" ht="15" customHeight="1" s="56">
      <c r="A23" s="82" t="inlineStr">
        <is>
          <t>z</t>
        </is>
      </c>
      <c r="B23" s="98">
        <f>(B19-B20)/B22</f>
        <v/>
      </c>
      <c r="F23" s="82" t="inlineStr">
        <is>
          <t>Defect rate</t>
        </is>
      </c>
      <c r="H23" s="84">
        <f>B7</f>
        <v/>
      </c>
      <c r="I23" s="84">
        <f>C7</f>
        <v/>
      </c>
    </row>
    <row r="24" ht="15" customHeight="1" s="56">
      <c r="A24" s="82" t="inlineStr">
        <is>
          <t>p-value (two-tailed)</t>
        </is>
      </c>
      <c r="B24" s="88">
        <f>2*(1-NORMSDIST(ABS(B23)))</f>
        <v/>
      </c>
    </row>
    <row r="25" ht="15" customHeight="1" s="56">
      <c r="A25" s="82" t="inlineStr">
        <is>
          <t>Decision (α=0.05)</t>
        </is>
      </c>
      <c r="B25" s="87">
        <f>IF(B24&lt;0.05,"Reject H0","Fail to reject H0")</f>
        <v/>
      </c>
    </row>
    <row r="26" ht="15" customHeight="1" s="56">
      <c r="A26" s="63" t="inlineStr">
        <is>
          <t>Interpretation: with p1≈0.36 and p2≈0.20, the two-tailed z-test (z≈3.36, p≈0.0008) rejects H0 — the two processes differ significantly in defect proportion, with Process 2 markedly lower. Opportunity for P2 is defined as pieces placed including the defective piece (g+1 per discarded run), giving 151 opportunities over 30 runs.</t>
        </is>
      </c>
    </row>
    <row r="27" ht="15" customHeight="1" s="56"/>
    <row r="28" ht="15" customHeight="1" s="56"/>
    <row r="29" ht="15" customHeight="1" s="56"/>
    <row r="30" ht="15" customHeight="1" s="56"/>
    <row r="40" ht="15" customHeight="1" s="56">
      <c r="A40" s="58" t="inlineStr">
        <is>
          <t>Chart data</t>
        </is>
      </c>
    </row>
    <row r="41" ht="15" customHeight="1" s="56">
      <c r="A41" s="85" t="inlineStr">
        <is>
          <t>Metric</t>
        </is>
      </c>
      <c r="B41" s="85" t="inlineStr">
        <is>
          <t>Process 1</t>
        </is>
      </c>
      <c r="C41" s="85" t="inlineStr">
        <is>
          <t>Process 2</t>
        </is>
      </c>
    </row>
    <row r="42" ht="15" customHeight="1" s="56">
      <c r="A42" s="99" t="inlineStr">
        <is>
          <t>DPMO</t>
        </is>
      </c>
      <c r="B42" s="100">
        <f>B8</f>
        <v/>
      </c>
      <c r="C42" s="100">
        <f>C8</f>
        <v/>
      </c>
    </row>
    <row r="43" ht="15" customHeight="1" s="56">
      <c r="A43" s="99" t="inlineStr">
        <is>
          <t>Defect rate</t>
        </is>
      </c>
      <c r="B43" s="101">
        <f>B7</f>
        <v/>
      </c>
      <c r="C43" s="101">
        <f>C7</f>
        <v/>
      </c>
    </row>
    <row r="44" ht="15" customHeight="1" s="56">
      <c r="A44" s="99" t="inlineStr">
        <is>
          <t>Total cost (R)</t>
        </is>
      </c>
      <c r="B44" s="100">
        <f>H20</f>
        <v/>
      </c>
      <c r="C44" s="100">
        <f>I20</f>
        <v/>
      </c>
    </row>
  </sheetData>
  <mergeCells count="2">
    <mergeCell ref="A12:D12"/>
    <mergeCell ref="A26:D3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I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55" min="1" max="3"/>
    <col width="12" customWidth="1" style="55" min="4" max="4"/>
    <col width="3" customWidth="1" style="55" min="5" max="5"/>
    <col width="14" customWidth="1" style="55" min="6" max="6"/>
    <col width="10" customWidth="1" style="55" min="7" max="7"/>
    <col width="22" customWidth="1" style="55" min="8" max="8"/>
    <col width="16" customWidth="1" style="55" min="9" max="9"/>
  </cols>
  <sheetData>
    <row r="1" ht="17.25" customHeight="1" s="56">
      <c r="A1" s="57" t="inlineStr">
        <is>
          <t>Tangra Inc. — SPC Dashboard &amp; Report Tables</t>
        </is>
      </c>
    </row>
    <row r="2" ht="15" customHeight="1" s="56">
      <c r="A2" s="60" t="inlineStr">
        <is>
          <t>Author: Nthabiseng Maoka (30224926)</t>
        </is>
      </c>
    </row>
    <row r="4" ht="15" customHeight="1" s="56">
      <c r="A4" s="102" t="inlineStr">
        <is>
          <t>P1 defect rate</t>
        </is>
      </c>
      <c r="B4" s="66" t="n"/>
      <c r="D4" s="102" t="inlineStr">
        <is>
          <t>P2 defect rate</t>
        </is>
      </c>
      <c r="E4" s="66" t="n"/>
      <c r="G4" s="102" t="inlineStr">
        <is>
          <t>P1 DPMO</t>
        </is>
      </c>
      <c r="H4" s="66" t="n"/>
    </row>
    <row r="5" ht="19.5" customHeight="1" s="56">
      <c r="A5" s="103">
        <f>Comparison_DPMO_Cost!B7</f>
        <v/>
      </c>
      <c r="B5" s="66" t="n"/>
      <c r="D5" s="103">
        <f>Comparison_DPMO_Cost!C7</f>
        <v/>
      </c>
      <c r="E5" s="66" t="n"/>
      <c r="G5" s="104">
        <f>Comparison_DPMO_Cost!B8</f>
        <v/>
      </c>
      <c r="H5" s="66" t="n"/>
    </row>
    <row r="7" ht="15" customHeight="1" s="56">
      <c r="A7" s="102" t="inlineStr">
        <is>
          <t>P2 DPMO</t>
        </is>
      </c>
      <c r="B7" s="66" t="n"/>
      <c r="D7" s="102" t="inlineStr">
        <is>
          <t>2σ P1</t>
        </is>
      </c>
      <c r="E7" s="66" t="n"/>
      <c r="G7" s="102" t="inlineStr">
        <is>
          <t>2σ P2</t>
        </is>
      </c>
      <c r="H7" s="66" t="n"/>
    </row>
    <row r="8" ht="19.5" customHeight="1" s="56">
      <c r="A8" s="104">
        <f>Comparison_DPMO_Cost!C8</f>
        <v/>
      </c>
      <c r="B8" s="66" t="n"/>
      <c r="D8" s="105">
        <f>Comparison_DPMO_Cost!B10</f>
        <v/>
      </c>
      <c r="E8" s="66" t="n"/>
      <c r="G8" s="106">
        <f>Comparison_DPMO_Cost!C10</f>
        <v/>
      </c>
      <c r="H8" s="66" t="n"/>
    </row>
    <row r="10">
      <c r="A10" s="107" t="inlineStr">
        <is>
          <t>z-test p-value</t>
        </is>
      </c>
      <c r="D10" s="107" t="inlineStr">
        <is>
          <t>Top defect colour</t>
        </is>
      </c>
      <c r="G10" s="107" t="inlineStr">
        <is>
          <t>Recommended process</t>
        </is>
      </c>
    </row>
    <row r="11" ht="15" customHeight="1" s="56">
      <c r="A11" s="108">
        <f>Comparison_DPMO_Cost!B24</f>
        <v/>
      </c>
      <c r="D11" s="109">
        <f>INDEX(P1_Analysis!AA11:AA17,MATCH(MAX(P1_Analysis!AB11:AB17),P1_Analysis!AB11:AB17,0))</f>
        <v/>
      </c>
      <c r="F11" s="61" t="inlineStr">
        <is>
          <t>Chart selection justification</t>
        </is>
      </c>
      <c r="G11" s="109">
        <f>IF(Comparison_DPMO_Cost!C8&lt;Comparison_DPMO_Cost!B8,"Process 2","Process 1")</f>
        <v/>
      </c>
    </row>
    <row r="12" ht="15" customHeight="1" s="56">
      <c r="A12" s="85" t="inlineStr">
        <is>
          <t>Criterion</t>
        </is>
      </c>
      <c r="B12" s="85" t="inlineStr">
        <is>
          <t>Process 1</t>
        </is>
      </c>
      <c r="C12" s="85" t="inlineStr">
        <is>
          <t>Process 2</t>
        </is>
      </c>
      <c r="D12" s="85" t="inlineStr">
        <is>
          <t>Better</t>
        </is>
      </c>
      <c r="F12" s="64" t="inlineStr">
        <is>
          <t>Chart</t>
        </is>
      </c>
      <c r="G12" s="64" t="inlineStr">
        <is>
          <t>Process</t>
        </is>
      </c>
      <c r="H12" s="64" t="inlineStr">
        <is>
          <t>Justification</t>
        </is>
      </c>
    </row>
    <row r="13" ht="34.5" customHeight="1" s="56">
      <c r="A13" s="67" t="inlineStr">
        <is>
          <t>Defect rate</t>
        </is>
      </c>
      <c r="B13" s="110">
        <f>Comparison_DPMO_Cost!B7</f>
        <v/>
      </c>
      <c r="C13" s="110">
        <f>Comparison_DPMO_Cost!C7</f>
        <v/>
      </c>
      <c r="D13" s="68">
        <f>IF(B13&lt;C13,"P1","P2")</f>
        <v/>
      </c>
      <c r="F13" s="67" t="inlineStr">
        <is>
          <t>p-chart</t>
        </is>
      </c>
      <c r="G13" s="68" t="inlineStr">
        <is>
          <t>P1</t>
        </is>
      </c>
      <c r="H13" s="68" t="inlineStr">
        <is>
          <t>fixed n=5, proportion defective — primary rubric chart</t>
        </is>
      </c>
    </row>
    <row r="14" ht="23.25" customHeight="1" s="56">
      <c r="A14" s="67" t="inlineStr">
        <is>
          <t>DPMO</t>
        </is>
      </c>
      <c r="B14" s="111">
        <f>Comparison_DPMO_Cost!B8</f>
        <v/>
      </c>
      <c r="C14" s="111">
        <f>Comparison_DPMO_Cost!C8</f>
        <v/>
      </c>
      <c r="D14" s="68">
        <f>IF(B14&lt;C14,"P1","P2")</f>
        <v/>
      </c>
      <c r="F14" s="67" t="inlineStr">
        <is>
          <t>np-chart</t>
        </is>
      </c>
      <c r="G14" s="68" t="inlineStr">
        <is>
          <t>P1</t>
        </is>
      </c>
      <c r="H14" s="68" t="inlineStr">
        <is>
          <t>count defective valid (n constant); confirms p-chart</t>
        </is>
      </c>
    </row>
    <row r="15" ht="23.25" customHeight="1" s="56">
      <c r="A15" s="67" t="inlineStr">
        <is>
          <t>Meets 2σ?</t>
        </is>
      </c>
      <c r="B15" s="68">
        <f>Comparison_DPMO_Cost!B10</f>
        <v/>
      </c>
      <c r="C15" s="68">
        <f>Comparison_DPMO_Cost!C10</f>
        <v/>
      </c>
      <c r="D15" s="68" t="inlineStr">
        <is>
          <t>—</t>
        </is>
      </c>
      <c r="F15" s="67" t="inlineStr">
        <is>
          <t>Pareto</t>
        </is>
      </c>
      <c r="G15" s="68" t="inlineStr">
        <is>
          <t>both</t>
        </is>
      </c>
      <c r="H15" s="68" t="inlineStr">
        <is>
          <t>rank colours to target assignable causes</t>
        </is>
      </c>
    </row>
    <row r="16" ht="23.25" customHeight="1" s="56">
      <c r="A16" s="67" t="inlineStr">
        <is>
          <t>Statistically stable?</t>
        </is>
      </c>
      <c r="B16" s="68" t="inlineStr">
        <is>
          <t>Round-2 limits show colour-driven OOC</t>
        </is>
      </c>
      <c r="C16" s="68" t="inlineStr">
        <is>
          <t>Limits run-specific (u-chart)</t>
        </is>
      </c>
      <c r="D16" s="68" t="inlineStr">
        <is>
          <t>—</t>
        </is>
      </c>
      <c r="F16" s="67" t="inlineStr">
        <is>
          <t>u-chart</t>
        </is>
      </c>
      <c r="G16" s="68" t="inlineStr">
        <is>
          <t>P2</t>
        </is>
      </c>
      <c r="H16" s="68" t="inlineStr">
        <is>
          <t>defects per varying opportunity size</t>
        </is>
      </c>
    </row>
    <row r="17" ht="23.25" customHeight="1" s="56">
      <c r="A17" s="67" t="inlineStr">
        <is>
          <t>Throughput (completed)</t>
        </is>
      </c>
      <c r="B17" s="68">
        <f>Comparison_DPMO_Cost!G9</f>
        <v/>
      </c>
      <c r="C17" s="68">
        <f>Comparison_DPMO_Cost!G10</f>
        <v/>
      </c>
      <c r="D17" s="68" t="inlineStr">
        <is>
          <t>—</t>
        </is>
      </c>
      <c r="F17" s="67" t="inlineStr">
        <is>
          <t>g-chart</t>
        </is>
      </c>
      <c r="G17" s="68" t="inlineStr">
        <is>
          <t>P2</t>
        </is>
      </c>
      <c r="H17" s="68" t="inlineStr">
        <is>
          <t>pieces before defect; higher = better</t>
        </is>
      </c>
    </row>
    <row r="20" ht="15" customHeight="1" s="56">
      <c r="A20" s="61" t="inlineStr">
        <is>
          <t>Defect vs Defective</t>
        </is>
      </c>
      <c r="F20" s="61" t="inlineStr">
        <is>
          <t>Assignable causes (evidence-based)</t>
        </is>
      </c>
    </row>
    <row r="21" ht="23.25" customHeight="1" s="56">
      <c r="A21" s="64" t="inlineStr">
        <is>
          <t>Term</t>
        </is>
      </c>
      <c r="B21" s="64" t="inlineStr">
        <is>
          <t>Meaning</t>
        </is>
      </c>
      <c r="C21" s="65" t="n"/>
      <c r="D21" s="66" t="n"/>
      <c r="F21" s="62" t="inlineStr">
        <is>
          <t>• Supplier/colour concentration — White, Yellow, Red, Orange dominate defects in both processes.</t>
        </is>
      </c>
    </row>
    <row r="22" ht="23.25" customHeight="1" s="56">
      <c r="A22" s="67" t="inlineStr">
        <is>
          <t>Defect</t>
        </is>
      </c>
      <c r="B22" s="68" t="inlineStr">
        <is>
          <t>one nonconforming feature on a piece</t>
        </is>
      </c>
      <c r="C22" s="65" t="n"/>
      <c r="D22" s="66" t="n"/>
      <c r="F22" s="62" t="inlineStr">
        <is>
          <t>• Light Blue &amp; Green show zero defects — possible different supplier/bin or inspection focus change.</t>
        </is>
      </c>
    </row>
    <row r="23" ht="23.25" customHeight="1" s="56">
      <c r="A23" s="67" t="inlineStr">
        <is>
          <t>Defective piece</t>
        </is>
      </c>
      <c r="B23" s="68" t="inlineStr">
        <is>
          <t>a piece that cannot be used</t>
        </is>
      </c>
      <c r="C23" s="65" t="n"/>
      <c r="D23" s="66" t="n"/>
      <c r="F23" s="62" t="inlineStr">
        <is>
          <t>• Process 2 discards whole assemblies on first defect — early defects (low g) drive cost.</t>
        </is>
      </c>
    </row>
    <row r="24" ht="15" customHeight="1" s="56">
      <c r="A24" s="67" t="inlineStr">
        <is>
          <t>Defective assembly</t>
        </is>
      </c>
      <c r="B24" s="68" t="inlineStr">
        <is>
          <t>a figurine that cannot ship</t>
        </is>
      </c>
      <c r="C24" s="65" t="n"/>
      <c r="D24" s="66" t="n"/>
    </row>
    <row r="25" ht="15" customHeight="1" s="56">
      <c r="A25" s="67" t="inlineStr">
        <is>
          <t>Non-defective assembly</t>
        </is>
      </c>
      <c r="B25" s="68" t="inlineStr">
        <is>
          <t>complete, all 7 pieces fit</t>
        </is>
      </c>
      <c r="C25" s="65" t="n"/>
      <c r="D25" s="66" t="n"/>
    </row>
    <row r="28" ht="15" customHeight="1" s="56">
      <c r="A28" s="61" t="inlineStr">
        <is>
          <t>Final recommendation</t>
        </is>
      </c>
    </row>
    <row r="29" ht="15" customHeight="1" s="56">
      <c r="A29" s="112" t="inlineStr">
        <is>
          <t>Final recommendation: Process 2 is currently preferred because it has a lower defect rate and lower DPMO, and it passes the 2-sigma benchmark while Process 1 fails. However, both processes show colour-linked assignable causes (especially Orange/Red/White), so supplier-quality correction is required before full rollout. Report that completed-assembly output in the source notes is not fully captured and was treated conservatively in cost interpretation.</t>
        </is>
      </c>
    </row>
    <row r="30" ht="15" customHeight="1" s="56"/>
    <row r="31" ht="15" customHeight="1" s="56"/>
    <row r="32" ht="15" customHeight="1" s="56"/>
    <row r="33" ht="15" customHeight="1" s="56"/>
    <row r="34" ht="15" customHeight="1" s="56"/>
    <row r="35" ht="15" customHeight="1" s="56"/>
    <row r="36" ht="15" customHeight="1" s="56"/>
    <row r="37" ht="15" customHeight="1" s="56"/>
    <row r="38" ht="15" customHeight="1" s="56"/>
    <row r="40" ht="15" customHeight="1" s="56">
      <c r="A40" s="61" t="inlineStr">
        <is>
          <t>Assignable causes summary</t>
        </is>
      </c>
    </row>
    <row r="41" ht="15" customHeight="1" s="56">
      <c r="A41" s="62" t="inlineStr">
        <is>
          <t>• Supplier/colour concentration: White, Dark Blue, Yellow, Red, Orange dominate defects in BOTH processes (Pareto).</t>
        </is>
      </c>
    </row>
    <row r="42" ht="15" customHeight="1" s="56">
      <c r="A42" s="62" t="inlineStr">
        <is>
          <t>• Light Blue &amp; Green: zero defects in P1 — benchmark colours / different supplier or bin.</t>
        </is>
      </c>
    </row>
    <row r="43" ht="15" customHeight="1" s="56">
      <c r="A43" s="62" t="inlineStr">
        <is>
          <t>• Process 2 early discards driven by high-defect colours (Orange/Red) reached early in the pick order.</t>
        </is>
      </c>
    </row>
    <row r="44" ht="15" customHeight="1" s="56">
      <c r="A44" s="62" t="inlineStr">
        <is>
          <t>• No single-point 3σ outlier in P1 (n=5 caps limits) — cause is between-colour, not a rogue subgroup.</t>
        </is>
      </c>
    </row>
  </sheetData>
  <mergeCells count="25">
    <mergeCell ref="A41:I41"/>
    <mergeCell ref="B23:D23"/>
    <mergeCell ref="G8:H8"/>
    <mergeCell ref="A7:B7"/>
    <mergeCell ref="G7:H7"/>
    <mergeCell ref="A42:I42"/>
    <mergeCell ref="A29:I38"/>
    <mergeCell ref="B24:D24"/>
    <mergeCell ref="A43:I43"/>
    <mergeCell ref="D7:E7"/>
    <mergeCell ref="A44:I44"/>
    <mergeCell ref="A5:B5"/>
    <mergeCell ref="G5:H5"/>
    <mergeCell ref="F21:I21"/>
    <mergeCell ref="D4:E4"/>
    <mergeCell ref="B25:D25"/>
    <mergeCell ref="A8:B8"/>
    <mergeCell ref="A4:B4"/>
    <mergeCell ref="G4:H4"/>
    <mergeCell ref="D8:E8"/>
    <mergeCell ref="B22:D22"/>
    <mergeCell ref="D5:E5"/>
    <mergeCell ref="B21:D21"/>
    <mergeCell ref="F23:I23"/>
    <mergeCell ref="F22:I2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Nthabiseng Maoka</dc:creator>
  <dc:title>INGB413 GA Quality Assurance — Tangra Inc. Workbook</dc:title>
  <dc:subject>Statistical Process Control and Process Capability Analysis</dc:subject>
  <dc:language>en-US</dc:language>
  <dcterms:created xsi:type="dcterms:W3CDTF">2026-05-29T19:15:16Z</dcterms:created>
  <dcterms:modified xsi:type="dcterms:W3CDTF">2026-05-29T22:25:43Z</dcterms:modified>
  <cp:revision>7</cp:revision>
  <cp:keywords>INGB413 GA4 SPC Tangra Inc DPMO p-chart np-chart g-chart u-chart</cp:keywords>
</cp:coreProperties>
</file>