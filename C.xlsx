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ylee Meyer\Documents\NWU\FOURTH YEAR\INGB 413\GA Exam\"/>
    </mc:Choice>
  </mc:AlternateContent>
  <xr:revisionPtr revIDLastSave="0" documentId="13_ncr:1_{4E6590D0-8CE4-4774-8076-B55D1AD46930}" xr6:coauthVersionLast="47" xr6:coauthVersionMax="47" xr10:uidLastSave="{00000000-0000-0000-0000-000000000000}"/>
  <bookViews>
    <workbookView xWindow="-108" yWindow="-108" windowWidth="23256" windowHeight="12456" firstSheet="1" activeTab="3" xr2:uid="{C4EB2A84-F5BF-4D29-8FBD-2602B32A14E6}"/>
  </bookViews>
  <sheets>
    <sheet name="Process 1 Data Collection" sheetId="1" r:id="rId1"/>
    <sheet name="Process 1 Data Analysis " sheetId="3" r:id="rId2"/>
    <sheet name="Process 2 Data Collection" sheetId="5" r:id="rId3"/>
    <sheet name="Process 2 Data Analysi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2" l="1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49" i="2"/>
  <c r="J49" i="2"/>
  <c r="V63" i="3"/>
  <c r="W63" i="3"/>
  <c r="V64" i="3"/>
  <c r="W64" i="3"/>
  <c r="V65" i="3"/>
  <c r="W65" i="3"/>
  <c r="V66" i="3"/>
  <c r="W66" i="3"/>
  <c r="W62" i="3"/>
  <c r="V62" i="3"/>
  <c r="R86" i="3"/>
  <c r="R85" i="3"/>
  <c r="R83" i="3"/>
  <c r="R84" i="3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M32" i="2"/>
  <c r="N32" i="2"/>
  <c r="M33" i="2"/>
  <c r="N33" i="2"/>
  <c r="M34" i="2"/>
  <c r="N34" i="2"/>
  <c r="M35" i="2"/>
  <c r="N35" i="2"/>
  <c r="M36" i="2"/>
  <c r="N36" i="2"/>
  <c r="M37" i="2"/>
  <c r="N37" i="2"/>
  <c r="M38" i="2"/>
  <c r="N38" i="2"/>
  <c r="M39" i="2"/>
  <c r="N39" i="2"/>
  <c r="M40" i="2"/>
  <c r="N40" i="2"/>
  <c r="M41" i="2"/>
  <c r="N41" i="2"/>
  <c r="M42" i="2"/>
  <c r="N42" i="2"/>
  <c r="N3" i="2"/>
  <c r="M3" i="2"/>
  <c r="S13" i="2"/>
  <c r="S12" i="2"/>
  <c r="S11" i="2"/>
  <c r="L5" i="2" s="1"/>
  <c r="L7" i="2"/>
  <c r="L8" i="2"/>
  <c r="L10" i="2"/>
  <c r="L14" i="2"/>
  <c r="L18" i="2"/>
  <c r="L19" i="2"/>
  <c r="L21" i="2"/>
  <c r="L22" i="2"/>
  <c r="L23" i="2"/>
  <c r="L24" i="2"/>
  <c r="L30" i="2"/>
  <c r="L31" i="2"/>
  <c r="L32" i="2"/>
  <c r="L34" i="2"/>
  <c r="L39" i="2"/>
  <c r="L40" i="2"/>
  <c r="L42" i="2"/>
  <c r="L4" i="2"/>
  <c r="S10" i="2"/>
  <c r="K5" i="2" s="1"/>
  <c r="T4" i="3"/>
  <c r="U4" i="3"/>
  <c r="T5" i="3"/>
  <c r="U5" i="3"/>
  <c r="T6" i="3"/>
  <c r="U6" i="3"/>
  <c r="T7" i="3"/>
  <c r="U7" i="3"/>
  <c r="T8" i="3"/>
  <c r="U8" i="3"/>
  <c r="T9" i="3"/>
  <c r="U9" i="3"/>
  <c r="T10" i="3"/>
  <c r="U10" i="3"/>
  <c r="T11" i="3"/>
  <c r="U11" i="3"/>
  <c r="T12" i="3"/>
  <c r="U12" i="3"/>
  <c r="T13" i="3"/>
  <c r="U13" i="3"/>
  <c r="T14" i="3"/>
  <c r="U14" i="3"/>
  <c r="T15" i="3"/>
  <c r="U15" i="3"/>
  <c r="T16" i="3"/>
  <c r="U16" i="3"/>
  <c r="T17" i="3"/>
  <c r="U17" i="3"/>
  <c r="U3" i="3"/>
  <c r="T3" i="3"/>
  <c r="X12" i="3"/>
  <c r="X11" i="3"/>
  <c r="X9" i="3"/>
  <c r="R16" i="3" s="1"/>
  <c r="X10" i="3"/>
  <c r="S12" i="3" s="1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31" i="3"/>
  <c r="Q57" i="3"/>
  <c r="Q56" i="3"/>
  <c r="U44" i="3" s="1"/>
  <c r="Q55" i="3"/>
  <c r="T40" i="3" s="1"/>
  <c r="X8" i="3"/>
  <c r="G49" i="2"/>
  <c r="G88" i="2"/>
  <c r="G87" i="2"/>
  <c r="G84" i="2"/>
  <c r="G77" i="2"/>
  <c r="G78" i="2"/>
  <c r="G79" i="2"/>
  <c r="G80" i="2"/>
  <c r="G81" i="2"/>
  <c r="G82" i="2"/>
  <c r="G83" i="2"/>
  <c r="G85" i="2"/>
  <c r="G86" i="2"/>
  <c r="G76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X9" i="2"/>
  <c r="X8" i="2"/>
  <c r="X6" i="2"/>
  <c r="X3" i="2"/>
  <c r="X4" i="2"/>
  <c r="X5" i="2"/>
  <c r="X7" i="2"/>
  <c r="G9" i="2"/>
  <c r="G4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3" i="2"/>
  <c r="B156" i="2"/>
  <c r="B148" i="2"/>
  <c r="B149" i="2"/>
  <c r="B150" i="2"/>
  <c r="B151" i="2"/>
  <c r="B152" i="2"/>
  <c r="B153" i="2"/>
  <c r="B154" i="2"/>
  <c r="B155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Y6" i="3"/>
  <c r="X6" i="3" s="1"/>
  <c r="X4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D48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33" i="3"/>
  <c r="O67" i="3"/>
  <c r="P68" i="3" s="1"/>
  <c r="R78" i="3" s="1"/>
  <c r="P63" i="3"/>
  <c r="P64" i="3"/>
  <c r="P65" i="3"/>
  <c r="P66" i="3"/>
  <c r="P62" i="3"/>
  <c r="Q50" i="3"/>
  <c r="Q58" i="3" s="1"/>
  <c r="O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46" i="3" s="1"/>
  <c r="C42" i="5"/>
  <c r="B42" i="5"/>
  <c r="H22" i="3"/>
  <c r="H21" i="3"/>
  <c r="H20" i="3"/>
  <c r="H18" i="3"/>
  <c r="H17" i="3"/>
  <c r="H16" i="3"/>
  <c r="H15" i="3"/>
  <c r="H13" i="3"/>
  <c r="H11" i="3"/>
  <c r="H10" i="3"/>
  <c r="H9" i="3"/>
  <c r="H6" i="3"/>
  <c r="H4" i="3"/>
  <c r="H3" i="3"/>
  <c r="H2" i="3"/>
  <c r="G24" i="3"/>
  <c r="H25" i="3" s="1"/>
  <c r="F24" i="3"/>
  <c r="AD7" i="3"/>
  <c r="AD5" i="3"/>
  <c r="AD8" i="3"/>
  <c r="AD9" i="3"/>
  <c r="AD6" i="3"/>
  <c r="AD4" i="3"/>
  <c r="AD3" i="3"/>
  <c r="T64" i="3" l="1"/>
  <c r="R80" i="3"/>
  <c r="R82" i="3"/>
  <c r="L38" i="2"/>
  <c r="L17" i="2"/>
  <c r="L37" i="2"/>
  <c r="L16" i="2"/>
  <c r="L35" i="2"/>
  <c r="L15" i="2"/>
  <c r="L33" i="2"/>
  <c r="L13" i="2"/>
  <c r="L29" i="2"/>
  <c r="L6" i="2"/>
  <c r="L26" i="2"/>
  <c r="L28" i="2"/>
  <c r="L12" i="2"/>
  <c r="L3" i="2"/>
  <c r="L27" i="2"/>
  <c r="L11" i="2"/>
  <c r="L41" i="2"/>
  <c r="L25" i="2"/>
  <c r="L9" i="2"/>
  <c r="L36" i="2"/>
  <c r="L20" i="2"/>
  <c r="K35" i="2"/>
  <c r="K34" i="2"/>
  <c r="K18" i="2"/>
  <c r="K33" i="2"/>
  <c r="K17" i="2"/>
  <c r="K32" i="2"/>
  <c r="K31" i="2"/>
  <c r="K15" i="2"/>
  <c r="K30" i="2"/>
  <c r="K14" i="2"/>
  <c r="K4" i="2"/>
  <c r="K16" i="2"/>
  <c r="K29" i="2"/>
  <c r="K13" i="2"/>
  <c r="K36" i="2"/>
  <c r="K19" i="2"/>
  <c r="K3" i="2"/>
  <c r="K28" i="2"/>
  <c r="K12" i="2"/>
  <c r="K27" i="2"/>
  <c r="K11" i="2"/>
  <c r="K20" i="2"/>
  <c r="K42" i="2"/>
  <c r="K26" i="2"/>
  <c r="K10" i="2"/>
  <c r="K41" i="2"/>
  <c r="K25" i="2"/>
  <c r="K9" i="2"/>
  <c r="K8" i="2"/>
  <c r="K6" i="2"/>
  <c r="K40" i="2"/>
  <c r="K24" i="2"/>
  <c r="K39" i="2"/>
  <c r="K23" i="2"/>
  <c r="K7" i="2"/>
  <c r="K38" i="2"/>
  <c r="K22" i="2"/>
  <c r="K37" i="2"/>
  <c r="K21" i="2"/>
  <c r="S10" i="3"/>
  <c r="S9" i="3"/>
  <c r="S8" i="3"/>
  <c r="S6" i="3"/>
  <c r="S5" i="3"/>
  <c r="S7" i="3"/>
  <c r="S4" i="3"/>
  <c r="S11" i="3"/>
  <c r="S3" i="3"/>
  <c r="S17" i="3"/>
  <c r="S16" i="3"/>
  <c r="S15" i="3"/>
  <c r="S14" i="3"/>
  <c r="S13" i="3"/>
  <c r="R13" i="3"/>
  <c r="R10" i="3"/>
  <c r="R14" i="3"/>
  <c r="R12" i="3"/>
  <c r="R11" i="3"/>
  <c r="R9" i="3"/>
  <c r="R8" i="3"/>
  <c r="R6" i="3"/>
  <c r="R4" i="3"/>
  <c r="R3" i="3"/>
  <c r="R15" i="3"/>
  <c r="R5" i="3"/>
  <c r="R7" i="3"/>
  <c r="R17" i="3"/>
  <c r="Q54" i="3"/>
  <c r="R52" i="3"/>
  <c r="Q52" i="3" s="1"/>
  <c r="T39" i="3"/>
  <c r="T38" i="3"/>
  <c r="T37" i="3"/>
  <c r="T36" i="3"/>
  <c r="T35" i="3"/>
  <c r="T34" i="3"/>
  <c r="T33" i="3"/>
  <c r="T32" i="3"/>
  <c r="T31" i="3"/>
  <c r="T45" i="3"/>
  <c r="T44" i="3"/>
  <c r="T42" i="3"/>
  <c r="T41" i="3"/>
  <c r="T43" i="3"/>
  <c r="U40" i="3"/>
  <c r="U42" i="3"/>
  <c r="U41" i="3"/>
  <c r="U39" i="3"/>
  <c r="U38" i="3"/>
  <c r="U37" i="3"/>
  <c r="U36" i="3"/>
  <c r="U33" i="3"/>
  <c r="U43" i="3"/>
  <c r="U35" i="3"/>
  <c r="U32" i="3"/>
  <c r="U45" i="3"/>
  <c r="U31" i="3"/>
  <c r="U34" i="3"/>
  <c r="U62" i="3"/>
  <c r="U65" i="3"/>
  <c r="T62" i="3"/>
  <c r="T66" i="3"/>
  <c r="T65" i="3"/>
  <c r="T63" i="3"/>
  <c r="Q53" i="3"/>
  <c r="P67" i="3"/>
  <c r="X10" i="2"/>
  <c r="Y6" i="2" s="1"/>
  <c r="G43" i="2"/>
  <c r="S5" i="2" s="1"/>
  <c r="S8" i="2" s="1"/>
  <c r="R81" i="3"/>
  <c r="R63" i="3"/>
  <c r="R64" i="3"/>
  <c r="R65" i="3"/>
  <c r="R66" i="3"/>
  <c r="R62" i="3"/>
  <c r="H24" i="3"/>
  <c r="AD10" i="3"/>
  <c r="AE4" i="3" s="1"/>
  <c r="U64" i="3" l="1"/>
  <c r="U66" i="3"/>
  <c r="U63" i="3"/>
  <c r="T7" i="2"/>
  <c r="S7" i="2" s="1"/>
  <c r="H40" i="2" s="1"/>
  <c r="J31" i="2"/>
  <c r="Y9" i="2"/>
  <c r="Y8" i="2"/>
  <c r="Y7" i="2"/>
  <c r="Y3" i="2"/>
  <c r="Y4" i="2"/>
  <c r="Y5" i="2"/>
  <c r="Q63" i="3"/>
  <c r="Q64" i="3"/>
  <c r="Q65" i="3"/>
  <c r="Q66" i="3"/>
  <c r="Q62" i="3"/>
  <c r="S65" i="3"/>
  <c r="S66" i="3"/>
  <c r="S62" i="3"/>
  <c r="S63" i="3"/>
  <c r="S64" i="3"/>
  <c r="J12" i="2"/>
  <c r="J29" i="2"/>
  <c r="J6" i="2"/>
  <c r="J19" i="2"/>
  <c r="J20" i="2"/>
  <c r="J21" i="2"/>
  <c r="I18" i="2"/>
  <c r="I34" i="2"/>
  <c r="I3" i="2"/>
  <c r="I19" i="2"/>
  <c r="I35" i="2"/>
  <c r="I38" i="2"/>
  <c r="I7" i="2"/>
  <c r="I8" i="2"/>
  <c r="I40" i="2"/>
  <c r="I10" i="2"/>
  <c r="I12" i="2"/>
  <c r="I28" i="2"/>
  <c r="I15" i="2"/>
  <c r="I31" i="2"/>
  <c r="I16" i="2"/>
  <c r="I32" i="2"/>
  <c r="I17" i="2"/>
  <c r="I33" i="2"/>
  <c r="I4" i="2"/>
  <c r="I20" i="2"/>
  <c r="I36" i="2"/>
  <c r="I5" i="2"/>
  <c r="I21" i="2"/>
  <c r="I37" i="2"/>
  <c r="I6" i="2"/>
  <c r="I22" i="2"/>
  <c r="I23" i="2"/>
  <c r="I39" i="2"/>
  <c r="I24" i="2"/>
  <c r="I9" i="2"/>
  <c r="I25" i="2"/>
  <c r="I41" i="2"/>
  <c r="I26" i="2"/>
  <c r="I42" i="2"/>
  <c r="I11" i="2"/>
  <c r="I27" i="2"/>
  <c r="I13" i="2"/>
  <c r="I29" i="2"/>
  <c r="I14" i="2"/>
  <c r="I30" i="2"/>
  <c r="R45" i="3"/>
  <c r="R40" i="3"/>
  <c r="R41" i="3"/>
  <c r="R42" i="3"/>
  <c r="R43" i="3"/>
  <c r="R44" i="3"/>
  <c r="R32" i="3"/>
  <c r="R33" i="3"/>
  <c r="R34" i="3"/>
  <c r="R35" i="3"/>
  <c r="R36" i="3"/>
  <c r="R31" i="3"/>
  <c r="R37" i="3"/>
  <c r="R38" i="3"/>
  <c r="R39" i="3"/>
  <c r="Q40" i="3"/>
  <c r="Q41" i="3"/>
  <c r="Q42" i="3"/>
  <c r="Q35" i="3"/>
  <c r="Q36" i="3"/>
  <c r="Q31" i="3"/>
  <c r="Q37" i="3"/>
  <c r="Q38" i="3"/>
  <c r="Q39" i="3"/>
  <c r="Q43" i="3"/>
  <c r="Q44" i="3"/>
  <c r="Q45" i="3"/>
  <c r="Q32" i="3"/>
  <c r="Q33" i="3"/>
  <c r="Q34" i="3"/>
  <c r="S40" i="3"/>
  <c r="S34" i="3"/>
  <c r="S35" i="3"/>
  <c r="S36" i="3"/>
  <c r="S31" i="3"/>
  <c r="S45" i="3"/>
  <c r="S32" i="3"/>
  <c r="S33" i="3"/>
  <c r="S37" i="3"/>
  <c r="S38" i="3"/>
  <c r="S39" i="3"/>
  <c r="S41" i="3"/>
  <c r="S42" i="3"/>
  <c r="S43" i="3"/>
  <c r="S44" i="3"/>
  <c r="AE6" i="3"/>
  <c r="AE9" i="3"/>
  <c r="AE3" i="3"/>
  <c r="AE8" i="3"/>
  <c r="AE5" i="3"/>
  <c r="AE7" i="3"/>
  <c r="J15" i="2" l="1"/>
  <c r="J36" i="2"/>
  <c r="J10" i="2"/>
  <c r="J18" i="2"/>
  <c r="J8" i="2"/>
  <c r="J16" i="2"/>
  <c r="J42" i="2"/>
  <c r="J17" i="2"/>
  <c r="J7" i="2"/>
  <c r="J9" i="2"/>
  <c r="J35" i="2"/>
  <c r="J32" i="2"/>
  <c r="J30" i="2"/>
  <c r="J26" i="2"/>
  <c r="J28" i="2"/>
  <c r="J39" i="2"/>
  <c r="J22" i="2"/>
  <c r="J23" i="2"/>
  <c r="J41" i="2"/>
  <c r="J14" i="2"/>
  <c r="H23" i="2"/>
  <c r="H31" i="2"/>
  <c r="H21" i="2"/>
  <c r="H24" i="2"/>
  <c r="H39" i="2"/>
  <c r="H38" i="2"/>
  <c r="H30" i="2"/>
  <c r="H4" i="2"/>
  <c r="H32" i="2"/>
  <c r="H16" i="2"/>
  <c r="H6" i="2"/>
  <c r="H3" i="2"/>
  <c r="H12" i="2"/>
  <c r="H37" i="2"/>
  <c r="H29" i="2"/>
  <c r="H27" i="2"/>
  <c r="J37" i="2"/>
  <c r="J13" i="2"/>
  <c r="H36" i="2"/>
  <c r="H20" i="2"/>
  <c r="H42" i="2"/>
  <c r="J11" i="2"/>
  <c r="H15" i="2"/>
  <c r="H22" i="2"/>
  <c r="H13" i="2"/>
  <c r="H35" i="2"/>
  <c r="H26" i="2"/>
  <c r="J25" i="2"/>
  <c r="H11" i="2"/>
  <c r="H19" i="2"/>
  <c r="H10" i="2"/>
  <c r="J34" i="2"/>
  <c r="J33" i="2"/>
  <c r="J38" i="2"/>
  <c r="H8" i="2"/>
  <c r="H7" i="2"/>
  <c r="H28" i="2"/>
  <c r="H34" i="2"/>
  <c r="H41" i="2"/>
  <c r="J3" i="2"/>
  <c r="J27" i="2"/>
  <c r="H18" i="2"/>
  <c r="H25" i="2"/>
  <c r="H5" i="2"/>
  <c r="H14" i="2"/>
  <c r="H33" i="2"/>
  <c r="H9" i="2"/>
  <c r="H17" i="2"/>
  <c r="J24" i="2"/>
  <c r="J40" i="2"/>
  <c r="J4" i="2"/>
  <c r="J5" i="2"/>
  <c r="Z3" i="2"/>
  <c r="Z4" i="2" s="1"/>
  <c r="Z5" i="2" s="1"/>
  <c r="Z6" i="2" s="1"/>
  <c r="Z7" i="2" s="1"/>
  <c r="Z8" i="2" s="1"/>
  <c r="Z9" i="2" s="1"/>
  <c r="Y10" i="2"/>
  <c r="AF3" i="3"/>
  <c r="AE10" i="3"/>
  <c r="D2" i="3"/>
  <c r="C42" i="2" l="1"/>
  <c r="B42" i="2"/>
  <c r="F24" i="1"/>
  <c r="C24" i="1"/>
  <c r="B24" i="1"/>
  <c r="C24" i="3"/>
  <c r="D25" i="3" s="1"/>
  <c r="D22" i="3"/>
  <c r="D21" i="3"/>
  <c r="D20" i="3"/>
  <c r="D18" i="3"/>
  <c r="D17" i="3"/>
  <c r="D16" i="3"/>
  <c r="D15" i="3"/>
  <c r="D13" i="3"/>
  <c r="D11" i="3"/>
  <c r="D10" i="3"/>
  <c r="D9" i="3"/>
  <c r="D6" i="3"/>
  <c r="D4" i="3"/>
  <c r="D3" i="3"/>
  <c r="B24" i="3"/>
  <c r="R50" i="2" l="1"/>
  <c r="C43" i="2"/>
  <c r="D24" i="3"/>
  <c r="R53" i="2" l="1"/>
  <c r="J58" i="2"/>
  <c r="J74" i="2"/>
  <c r="H50" i="2"/>
  <c r="H66" i="2"/>
  <c r="H82" i="2"/>
  <c r="I59" i="2"/>
  <c r="I75" i="2"/>
  <c r="J59" i="2"/>
  <c r="J75" i="2"/>
  <c r="H51" i="2"/>
  <c r="H67" i="2"/>
  <c r="H83" i="2"/>
  <c r="I60" i="2"/>
  <c r="I76" i="2"/>
  <c r="H65" i="2"/>
  <c r="J60" i="2"/>
  <c r="J76" i="2"/>
  <c r="H52" i="2"/>
  <c r="H68" i="2"/>
  <c r="H84" i="2"/>
  <c r="I61" i="2"/>
  <c r="I77" i="2"/>
  <c r="H49" i="2"/>
  <c r="J61" i="2"/>
  <c r="J77" i="2"/>
  <c r="H53" i="2"/>
  <c r="H69" i="2"/>
  <c r="H85" i="2"/>
  <c r="I62" i="2"/>
  <c r="I78" i="2"/>
  <c r="J73" i="2"/>
  <c r="J62" i="2"/>
  <c r="J78" i="2"/>
  <c r="H54" i="2"/>
  <c r="H70" i="2"/>
  <c r="H86" i="2"/>
  <c r="I63" i="2"/>
  <c r="I79" i="2"/>
  <c r="J63" i="2"/>
  <c r="J79" i="2"/>
  <c r="H55" i="2"/>
  <c r="H71" i="2"/>
  <c r="H87" i="2"/>
  <c r="I64" i="2"/>
  <c r="I80" i="2"/>
  <c r="H81" i="2"/>
  <c r="J64" i="2"/>
  <c r="J80" i="2"/>
  <c r="H56" i="2"/>
  <c r="H72" i="2"/>
  <c r="H88" i="2"/>
  <c r="I65" i="2"/>
  <c r="I81" i="2"/>
  <c r="I74" i="2"/>
  <c r="J88" i="2"/>
  <c r="J65" i="2"/>
  <c r="J81" i="2"/>
  <c r="H57" i="2"/>
  <c r="H73" i="2"/>
  <c r="I50" i="2"/>
  <c r="I66" i="2"/>
  <c r="I82" i="2"/>
  <c r="J50" i="2"/>
  <c r="J66" i="2"/>
  <c r="J82" i="2"/>
  <c r="H58" i="2"/>
  <c r="H74" i="2"/>
  <c r="I51" i="2"/>
  <c r="I67" i="2"/>
  <c r="I83" i="2"/>
  <c r="J51" i="2"/>
  <c r="J67" i="2"/>
  <c r="J83" i="2"/>
  <c r="H59" i="2"/>
  <c r="H75" i="2"/>
  <c r="I52" i="2"/>
  <c r="I68" i="2"/>
  <c r="I84" i="2"/>
  <c r="J52" i="2"/>
  <c r="J68" i="2"/>
  <c r="J84" i="2"/>
  <c r="H60" i="2"/>
  <c r="H76" i="2"/>
  <c r="I53" i="2"/>
  <c r="I69" i="2"/>
  <c r="I85" i="2"/>
  <c r="J53" i="2"/>
  <c r="J69" i="2"/>
  <c r="J85" i="2"/>
  <c r="H61" i="2"/>
  <c r="H77" i="2"/>
  <c r="I54" i="2"/>
  <c r="I70" i="2"/>
  <c r="I86" i="2"/>
  <c r="J54" i="2"/>
  <c r="J70" i="2"/>
  <c r="J86" i="2"/>
  <c r="H62" i="2"/>
  <c r="H78" i="2"/>
  <c r="I55" i="2"/>
  <c r="I71" i="2"/>
  <c r="I87" i="2"/>
  <c r="J55" i="2"/>
  <c r="J71" i="2"/>
  <c r="J87" i="2"/>
  <c r="H63" i="2"/>
  <c r="H79" i="2"/>
  <c r="I56" i="2"/>
  <c r="I72" i="2"/>
  <c r="I88" i="2"/>
  <c r="J72" i="2"/>
  <c r="H64" i="2"/>
  <c r="H80" i="2"/>
  <c r="I73" i="2"/>
  <c r="I49" i="2"/>
  <c r="I58" i="2"/>
  <c r="J56" i="2"/>
  <c r="I57" i="2"/>
  <c r="J57" i="2"/>
  <c r="D148" i="2"/>
  <c r="L150" i="2"/>
  <c r="L153" i="2" s="1"/>
  <c r="D186" i="2"/>
  <c r="E186" i="2" s="1"/>
  <c r="D153" i="2"/>
  <c r="E153" i="2" s="1"/>
  <c r="D178" i="2"/>
  <c r="E178" i="2" s="1"/>
  <c r="D160" i="2"/>
  <c r="E160" i="2" s="1"/>
  <c r="D184" i="2"/>
  <c r="E184" i="2" s="1"/>
  <c r="D151" i="2"/>
  <c r="E151" i="2" s="1"/>
  <c r="D163" i="2"/>
  <c r="E163" i="2" s="1"/>
  <c r="D172" i="2"/>
  <c r="E172" i="2" s="1"/>
  <c r="D170" i="2"/>
  <c r="E170" i="2" s="1"/>
  <c r="D168" i="2"/>
  <c r="E168" i="2" s="1"/>
  <c r="D185" i="2"/>
  <c r="E185" i="2" s="1"/>
  <c r="D169" i="2"/>
  <c r="E169" i="2" s="1"/>
  <c r="D174" i="2"/>
  <c r="E174" i="2" s="1"/>
  <c r="D182" i="2"/>
  <c r="E182" i="2" s="1"/>
  <c r="D162" i="2"/>
  <c r="E162" i="2" s="1"/>
  <c r="D161" i="2"/>
  <c r="E161" i="2" s="1"/>
  <c r="D175" i="2"/>
  <c r="E175" i="2" s="1"/>
  <c r="D159" i="2"/>
  <c r="E159" i="2" s="1"/>
  <c r="D183" i="2"/>
  <c r="E183" i="2" s="1"/>
  <c r="D158" i="2"/>
  <c r="E158" i="2" s="1"/>
  <c r="D149" i="2"/>
  <c r="E149" i="2" s="1"/>
  <c r="D150" i="2"/>
  <c r="E150" i="2" s="1"/>
  <c r="D156" i="2"/>
  <c r="E156" i="2" s="1"/>
  <c r="D173" i="2"/>
  <c r="E173" i="2" s="1"/>
  <c r="D187" i="2"/>
  <c r="E187" i="2" s="1"/>
  <c r="D165" i="2"/>
  <c r="E165" i="2" s="1"/>
  <c r="D157" i="2"/>
  <c r="E157" i="2" s="1"/>
  <c r="D171" i="2"/>
  <c r="E171" i="2" s="1"/>
  <c r="D181" i="2"/>
  <c r="E181" i="2" s="1"/>
  <c r="D176" i="2"/>
  <c r="E176" i="2" s="1"/>
  <c r="D155" i="2"/>
  <c r="E155" i="2" s="1"/>
  <c r="D164" i="2"/>
  <c r="E164" i="2" s="1"/>
  <c r="D152" i="2"/>
  <c r="E152" i="2" s="1"/>
  <c r="D177" i="2"/>
  <c r="E177" i="2" s="1"/>
  <c r="D166" i="2"/>
  <c r="E166" i="2" s="1"/>
  <c r="D180" i="2"/>
  <c r="E180" i="2" s="1"/>
  <c r="D154" i="2"/>
  <c r="E154" i="2" s="1"/>
  <c r="D179" i="2"/>
  <c r="E179" i="2" s="1"/>
  <c r="D167" i="2"/>
  <c r="E167" i="2" s="1"/>
  <c r="C172" i="2"/>
  <c r="C152" i="2"/>
  <c r="C155" i="2"/>
  <c r="X7" i="3"/>
  <c r="C159" i="2" l="1"/>
  <c r="C184" i="2"/>
  <c r="C175" i="2"/>
  <c r="C180" i="2"/>
  <c r="C178" i="2"/>
  <c r="C153" i="2"/>
  <c r="C186" i="2"/>
  <c r="C177" i="2"/>
  <c r="C154" i="2"/>
  <c r="C163" i="2"/>
  <c r="C149" i="2"/>
  <c r="C158" i="2"/>
  <c r="C183" i="2"/>
  <c r="C182" i="2"/>
  <c r="C176" i="2"/>
  <c r="C174" i="2"/>
  <c r="C169" i="2"/>
  <c r="C168" i="2"/>
  <c r="C151" i="2"/>
  <c r="C185" i="2"/>
  <c r="C156" i="2"/>
  <c r="C150" i="2"/>
  <c r="C179" i="2"/>
  <c r="C148" i="2"/>
  <c r="E148" i="2"/>
  <c r="C171" i="2"/>
  <c r="C161" i="2"/>
  <c r="C181" i="2"/>
  <c r="C164" i="2"/>
  <c r="C187" i="2"/>
  <c r="C157" i="2"/>
  <c r="C173" i="2"/>
  <c r="C162" i="2"/>
  <c r="C165" i="2"/>
  <c r="C170" i="2"/>
  <c r="C166" i="2"/>
  <c r="C167" i="2"/>
  <c r="C160" i="2"/>
  <c r="P4" i="3"/>
  <c r="P5" i="3"/>
  <c r="P6" i="3"/>
  <c r="P7" i="3"/>
  <c r="P8" i="3"/>
  <c r="P9" i="3"/>
  <c r="P10" i="3"/>
  <c r="P11" i="3"/>
  <c r="P12" i="3"/>
  <c r="P13" i="3"/>
  <c r="P14" i="3"/>
  <c r="P15" i="3"/>
  <c r="P17" i="3"/>
  <c r="P3" i="3"/>
  <c r="P16" i="3"/>
  <c r="O11" i="3"/>
  <c r="O3" i="3"/>
  <c r="O4" i="3"/>
  <c r="O12" i="3"/>
  <c r="O5" i="3"/>
  <c r="O13" i="3"/>
  <c r="O6" i="3"/>
  <c r="O14" i="3"/>
  <c r="O7" i="3"/>
  <c r="O15" i="3"/>
  <c r="O8" i="3"/>
  <c r="O16" i="3"/>
  <c r="O9" i="3"/>
  <c r="O17" i="3"/>
  <c r="O10" i="3"/>
  <c r="Q17" i="3"/>
  <c r="Q4" i="3"/>
  <c r="Q16" i="3"/>
  <c r="Q15" i="3"/>
  <c r="Q14" i="3"/>
  <c r="Q13" i="3"/>
  <c r="Q12" i="3"/>
  <c r="Q11" i="3"/>
  <c r="Q10" i="3"/>
  <c r="Q8" i="3"/>
  <c r="Q7" i="3"/>
  <c r="Q3" i="3"/>
  <c r="Q9" i="3"/>
  <c r="Q6" i="3"/>
  <c r="Q5" i="3"/>
  <c r="AF4" i="3" l="1"/>
  <c r="AF5" i="3" s="1"/>
  <c r="AF6" i="3" s="1"/>
  <c r="AF7" i="3" s="1"/>
  <c r="AF8" i="3" s="1"/>
  <c r="AF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Kaylee Meyer</author>
  </authors>
  <commentList>
    <comment ref="A2" authorId="0" shapeId="0" xr:uid="{26A5EF23-CEC3-489A-A425-88B73B646F91}">
      <text>
        <r>
          <rPr>
            <b/>
            <sz val="9"/>
            <color indexed="81"/>
            <rFont val="Tahoma"/>
            <family val="2"/>
          </rPr>
          <t>Kaylee Meyer:</t>
        </r>
        <r>
          <rPr>
            <sz val="9"/>
            <color indexed="81"/>
            <rFont val="Tahoma"/>
            <family val="2"/>
          </rPr>
          <t xml:space="preserve">
Note the different colours represent the different subgreoups for the p-chart.
</t>
        </r>
      </text>
    </comment>
    <comment ref="D25" authorId="0" shapeId="0" xr:uid="{1E171D94-23FF-410C-9FB3-5019D9332DE0}">
      <text>
        <r>
          <rPr>
            <b/>
            <sz val="9"/>
            <color indexed="81"/>
            <rFont val="Tahoma"/>
            <family val="2"/>
          </rPr>
          <t>Kaylee Meyer:</t>
        </r>
        <r>
          <rPr>
            <sz val="9"/>
            <color indexed="81"/>
            <rFont val="Tahoma"/>
            <family val="2"/>
          </rPr>
          <t xml:space="preserve">
Confirmation Calculation</t>
        </r>
      </text>
    </comment>
    <comment ref="H25" authorId="0" shapeId="0" xr:uid="{D2587366-9EF2-47B6-A283-DB8748D3B2C3}">
      <text>
        <r>
          <rPr>
            <b/>
            <sz val="9"/>
            <color indexed="81"/>
            <rFont val="Tahoma"/>
            <family val="2"/>
          </rPr>
          <t>Kaylee Meyer:</t>
        </r>
        <r>
          <rPr>
            <sz val="9"/>
            <color indexed="81"/>
            <rFont val="Tahoma"/>
            <family val="2"/>
          </rPr>
          <t xml:space="preserve">
Confirmation Calculation</t>
        </r>
      </text>
    </comment>
    <comment ref="N61" authorId="0" shapeId="0" xr:uid="{01530527-6296-4295-AF37-05DB595E10AC}">
      <text>
        <r>
          <rPr>
            <b/>
            <sz val="9"/>
            <color indexed="81"/>
            <rFont val="Tahoma"/>
            <family val="2"/>
          </rPr>
          <t>Kaylee Meyer:</t>
        </r>
        <r>
          <rPr>
            <sz val="9"/>
            <color indexed="81"/>
            <rFont val="Tahoma"/>
            <family val="2"/>
          </rPr>
          <t xml:space="preserve">
Different colour sample numbers represent the different subgroups.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Kaylee Meyer</author>
  </authors>
  <commentList>
    <comment ref="C43" authorId="0" shapeId="0" xr:uid="{63BC8FBC-3923-40B8-8393-BB8504026A83}">
      <text>
        <r>
          <rPr>
            <b/>
            <sz val="9"/>
            <color indexed="81"/>
            <rFont val="Tahoma"/>
            <family val="2"/>
          </rPr>
          <t>Kaylee Meyer:</t>
        </r>
        <r>
          <rPr>
            <sz val="9"/>
            <color indexed="81"/>
            <rFont val="Tahoma"/>
            <family val="2"/>
          </rPr>
          <t xml:space="preserve">
Calculated the same way as in slides.</t>
        </r>
      </text>
    </comment>
  </commentList>
</comments>
</file>

<file path=xl/sharedStrings.xml><?xml version="1.0" encoding="utf-8"?>
<sst xmlns="http://schemas.openxmlformats.org/spreadsheetml/2006/main" count="423" uniqueCount="84">
  <si>
    <t>Sample number</t>
  </si>
  <si>
    <t xml:space="preserve">Sample size </t>
  </si>
  <si>
    <t>Final product defective</t>
  </si>
  <si>
    <t>Specific defects in final piece</t>
  </si>
  <si>
    <t>Number of defects in sample</t>
  </si>
  <si>
    <t>Dark blue</t>
  </si>
  <si>
    <t>Orange</t>
  </si>
  <si>
    <t>Yellow</t>
  </si>
  <si>
    <t>Red</t>
  </si>
  <si>
    <t xml:space="preserve">Orange </t>
  </si>
  <si>
    <t>White</t>
  </si>
  <si>
    <t>-</t>
  </si>
  <si>
    <t>YES</t>
  </si>
  <si>
    <t>NO</t>
  </si>
  <si>
    <t>Sample size (pieces placed including defect)</t>
  </si>
  <si>
    <t>Number of defects (1/0)</t>
  </si>
  <si>
    <t>Specidic block defect</t>
  </si>
  <si>
    <t>TOTAL</t>
  </si>
  <si>
    <t>Specific defects in final puzzle</t>
  </si>
  <si>
    <t>How many defects in final puzzle</t>
  </si>
  <si>
    <t>Specific block defect</t>
  </si>
  <si>
    <t xml:space="preserve">Specific Block Defect </t>
  </si>
  <si>
    <t>Total</t>
  </si>
  <si>
    <t xml:space="preserve">Total </t>
  </si>
  <si>
    <t>LCL</t>
  </si>
  <si>
    <t>UCL</t>
  </si>
  <si>
    <t xml:space="preserve"> ̅p = </t>
  </si>
  <si>
    <t xml:space="preserve">n = </t>
  </si>
  <si>
    <t>LCL=</t>
  </si>
  <si>
    <t>CL=</t>
  </si>
  <si>
    <t>UCL=</t>
  </si>
  <si>
    <t xml:space="preserve"> ̅p </t>
  </si>
  <si>
    <t>p</t>
  </si>
  <si>
    <t>Light Blue</t>
  </si>
  <si>
    <t>Green</t>
  </si>
  <si>
    <t>Puzzle Piece</t>
  </si>
  <si>
    <t>Number of Defects</t>
  </si>
  <si>
    <t>Percentage</t>
  </si>
  <si>
    <t>Cumalative Percentage</t>
  </si>
  <si>
    <t>Line</t>
  </si>
  <si>
    <t>Defect Identification Process 1 (raw material):</t>
  </si>
  <si>
    <t>Assembly Process 1 (finished goods):</t>
  </si>
  <si>
    <t>Final product (sample size=7)</t>
  </si>
  <si>
    <t>Raw material inspection (Sample size =5)</t>
  </si>
  <si>
    <t>Number of defects in raw material sample</t>
  </si>
  <si>
    <t>Number of defects in finished good sample</t>
  </si>
  <si>
    <r>
      <t xml:space="preserve">Portion of defects in RM sample (# of defects/sample size)    </t>
    </r>
    <r>
      <rPr>
        <b/>
        <sz val="12"/>
        <color theme="0"/>
        <rFont val="Aptos Narrow"/>
        <family val="2"/>
        <scheme val="minor"/>
      </rPr>
      <t xml:space="preserve"> [p1]</t>
    </r>
  </si>
  <si>
    <t>Portion of defects in FG sample (# of defects/sample size)     [p2]</t>
  </si>
  <si>
    <t>ni</t>
  </si>
  <si>
    <t>where i is each samples sample size</t>
  </si>
  <si>
    <t xml:space="preserve">Sample Number </t>
  </si>
  <si>
    <t xml:space="preserve"> ̅c </t>
  </si>
  <si>
    <t xml:space="preserve"> ̅c = </t>
  </si>
  <si>
    <t>Defective tangram sets</t>
  </si>
  <si>
    <t xml:space="preserve">Subgroup number </t>
  </si>
  <si>
    <t>C-Chart</t>
  </si>
  <si>
    <t>P-Chart</t>
  </si>
  <si>
    <t>P-Chart (Defectives)</t>
  </si>
  <si>
    <t>Varies</t>
  </si>
  <si>
    <t>Cost of thrown away puzzle piece = R2</t>
  </si>
  <si>
    <t>k=</t>
  </si>
  <si>
    <t xml:space="preserve">n ̅p = </t>
  </si>
  <si>
    <t>npi</t>
  </si>
  <si>
    <t xml:space="preserve">n ̅p </t>
  </si>
  <si>
    <t>G-Chart</t>
  </si>
  <si>
    <t>g</t>
  </si>
  <si>
    <t xml:space="preserve"> ̅g </t>
  </si>
  <si>
    <t xml:space="preserve"> ̅g = </t>
  </si>
  <si>
    <t>Defect Identification Process 2</t>
  </si>
  <si>
    <t>Np-Chart (Defects in Inspection)</t>
  </si>
  <si>
    <t>Assembly Process 2</t>
  </si>
  <si>
    <t>u</t>
  </si>
  <si>
    <t> ̅u</t>
  </si>
  <si>
    <t xml:space="preserve"> ̅u = </t>
  </si>
  <si>
    <t xml:space="preserve"> ̅u </t>
  </si>
  <si>
    <t>varies</t>
  </si>
  <si>
    <t xml:space="preserve">ni = </t>
  </si>
  <si>
    <t xml:space="preserve">Varies </t>
  </si>
  <si>
    <t>c</t>
  </si>
  <si>
    <t>1,33σ (upper)</t>
  </si>
  <si>
    <t>1,33σ (lower)</t>
  </si>
  <si>
    <t>0,67σ (upper)</t>
  </si>
  <si>
    <t>0,67σ (lower)</t>
  </si>
  <si>
    <t>U-Chart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</si>
</sst>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71" formatCode="&quot;R&quot;#,##0.00"/>
  </numFmts>
  <fonts count="2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-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6" fontId="0" fillId="0" borderId="0" xfId="0" applyNumberFormat="1"/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0" fillId="0" borderId="13" xfId="0" applyNumberFormat="1" applyBorder="1" applyAlignment="1">
      <alignment horizontal="center" vertical="center"/>
    </xf>
    <xf numFmtId="165" fontId="0" fillId="0" borderId="13" xfId="0" applyNumberFormat="1" applyBorder="1" applyAlignment="1">
      <alignment vertical="center"/>
    </xf>
    <xf numFmtId="165" fontId="0" fillId="0" borderId="14" xfId="0" applyNumberFormat="1" applyBorder="1" applyAlignment="1">
      <alignment vertical="center"/>
    </xf>
    <xf numFmtId="165" fontId="0" fillId="0" borderId="15" xfId="0" applyNumberFormat="1" applyBorder="1" applyAlignment="1">
      <alignment vertical="center"/>
    </xf>
    <xf numFmtId="0" fontId="0" fillId="0" borderId="15" xfId="0" applyBorder="1"/>
    <xf numFmtId="0" fontId="0" fillId="0" borderId="16" xfId="0" applyBorder="1"/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9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2" fontId="0" fillId="0" borderId="1" xfId="0" applyNumberForma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0" borderId="29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 wrapText="1"/>
    </xf>
    <xf numFmtId="0" fontId="1" fillId="4" borderId="26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" fontId="0" fillId="3" borderId="9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0" fillId="0" borderId="0" xfId="0" applyBorder="1"/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textRotation="90"/>
    </xf>
    <xf numFmtId="0" fontId="17" fillId="0" borderId="32" xfId="0" applyFont="1" applyBorder="1" applyAlignment="1">
      <alignment horizontal="center" vertical="center" textRotation="90"/>
    </xf>
    <xf numFmtId="0" fontId="9" fillId="0" borderId="32" xfId="0" applyFont="1" applyBorder="1" applyAlignment="1">
      <alignment horizontal="center" vertical="center" textRotation="90"/>
    </xf>
    <xf numFmtId="0" fontId="9" fillId="0" borderId="30" xfId="0" applyFont="1" applyBorder="1" applyAlignment="1">
      <alignment horizontal="center" vertical="center" textRotation="90"/>
    </xf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textRotation="90"/>
    </xf>
    <xf numFmtId="0" fontId="15" fillId="0" borderId="32" xfId="0" applyFont="1" applyBorder="1" applyAlignment="1">
      <alignment horizontal="center" vertical="center" textRotation="90"/>
    </xf>
    <xf numFmtId="0" fontId="15" fillId="0" borderId="30" xfId="0" applyFont="1" applyBorder="1" applyAlignment="1">
      <alignment horizontal="center" vertical="center" textRotation="90"/>
    </xf>
    <xf numFmtId="171" fontId="0" fillId="0" borderId="1" xfId="0" applyNumberFormat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 textRotation="90"/>
    </xf>
    <xf numFmtId="0" fontId="8" fillId="0" borderId="1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textRotation="90"/>
    </xf>
    <xf numFmtId="0" fontId="1" fillId="4" borderId="3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17" fillId="0" borderId="30" xfId="0" applyFont="1" applyBorder="1" applyAlignment="1">
      <alignment horizontal="center" vertical="center" textRotation="90"/>
    </xf>
    <xf numFmtId="0" fontId="8" fillId="0" borderId="0" xfId="0" applyFont="1" applyAlignment="1">
      <alignment vertical="center"/>
    </xf>
    <xf numFmtId="0" fontId="0" fillId="0" borderId="0" xfId="0" applyBorder="1" applyAlignment="1">
      <alignment horizontal="left" vertical="top" wrapText="1"/>
    </xf>
    <xf numFmtId="0" fontId="16" fillId="0" borderId="18" xfId="0" applyFont="1" applyBorder="1" applyAlignment="1">
      <alignment horizontal="center" vertical="center" textRotation="90"/>
    </xf>
    <xf numFmtId="0" fontId="16" fillId="0" borderId="14" xfId="0" applyFont="1" applyBorder="1" applyAlignment="1">
      <alignment horizontal="center" vertical="center" textRotation="90"/>
    </xf>
    <xf numFmtId="165" fontId="0" fillId="0" borderId="0" xfId="0" applyNumberFormat="1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9" fillId="4" borderId="0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7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 vertical="top" wrapText="1"/>
    </xf>
    <xf numFmtId="0" fontId="1" fillId="4" borderId="34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165" fontId="0" fillId="3" borderId="17" xfId="0" applyNumberForma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9" fontId="0" fillId="0" borderId="0" xfId="1" applyFon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0" fillId="3" borderId="9" xfId="0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textRotation="90"/>
    </xf>
    <xf numFmtId="165" fontId="0" fillId="0" borderId="0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2F2F2"/>
      <color rgb="FFEAEAEA"/>
      <color rgb="FFE2E2E2"/>
      <color rgb="FFD9D9D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Pareto Chart: Defect Identification Process 1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 1 Data Analysis '!$AD$2</c:f>
              <c:strCache>
                <c:ptCount val="1"/>
                <c:pt idx="0">
                  <c:v>Number of Defects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'Process 1 Data Analysis '!$AC$3:$AC$9</c:f>
              <c:strCache>
                <c:ptCount val="7"/>
                <c:pt idx="0">
                  <c:v>Orange</c:v>
                </c:pt>
                <c:pt idx="1">
                  <c:v>Dark blue</c:v>
                </c:pt>
                <c:pt idx="2">
                  <c:v>White</c:v>
                </c:pt>
                <c:pt idx="3">
                  <c:v>Red</c:v>
                </c:pt>
                <c:pt idx="4">
                  <c:v>Yellow</c:v>
                </c:pt>
                <c:pt idx="5">
                  <c:v>Light Blue</c:v>
                </c:pt>
                <c:pt idx="6">
                  <c:v>Green</c:v>
                </c:pt>
              </c:strCache>
            </c:strRef>
          </c:cat>
          <c:val>
            <c:numRef>
              <c:f>'Process 1 Data Analysis '!$AD$3:$AD$9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9-4864-9681-EE58CD9EF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0"/>
        <c:axId val="1510725727"/>
        <c:axId val="1510728127"/>
      </c:barChart>
      <c:lineChart>
        <c:grouping val="standard"/>
        <c:varyColors val="0"/>
        <c:ser>
          <c:idx val="1"/>
          <c:order val="1"/>
          <c:tx>
            <c:strRef>
              <c:f>'Process 1 Data Analysis '!$AF$2</c:f>
              <c:strCache>
                <c:ptCount val="1"/>
                <c:pt idx="0">
                  <c:v>Cumalative Percentage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'Process 1 Data Analysis '!$AC$3:$AC$9</c:f>
              <c:strCache>
                <c:ptCount val="7"/>
                <c:pt idx="0">
                  <c:v>Orange</c:v>
                </c:pt>
                <c:pt idx="1">
                  <c:v>Dark blue</c:v>
                </c:pt>
                <c:pt idx="2">
                  <c:v>White</c:v>
                </c:pt>
                <c:pt idx="3">
                  <c:v>Red</c:v>
                </c:pt>
                <c:pt idx="4">
                  <c:v>Yellow</c:v>
                </c:pt>
                <c:pt idx="5">
                  <c:v>Light Blue</c:v>
                </c:pt>
                <c:pt idx="6">
                  <c:v>Green</c:v>
                </c:pt>
              </c:strCache>
            </c:strRef>
          </c:cat>
          <c:val>
            <c:numRef>
              <c:f>'Process 1 Data Analysis '!$AF$3:$AF$9</c:f>
              <c:numCache>
                <c:formatCode>0%</c:formatCode>
                <c:ptCount val="7"/>
                <c:pt idx="0">
                  <c:v>0.35294117647058826</c:v>
                </c:pt>
                <c:pt idx="1">
                  <c:v>0.58823529411764708</c:v>
                </c:pt>
                <c:pt idx="2">
                  <c:v>0.76470588235294124</c:v>
                </c:pt>
                <c:pt idx="3">
                  <c:v>0.88235294117647067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9-4864-9681-EE58CD9EF865}"/>
            </c:ext>
          </c:extLst>
        </c:ser>
        <c:ser>
          <c:idx val="2"/>
          <c:order val="2"/>
          <c:tx>
            <c:strRef>
              <c:f>'Process 1 Data Analysis '!$AG$2</c:f>
              <c:strCache>
                <c:ptCount val="1"/>
                <c:pt idx="0">
                  <c:v>Line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'Process 1 Data Analysis '!$AC$3:$AC$9</c:f>
              <c:strCache>
                <c:ptCount val="7"/>
                <c:pt idx="0">
                  <c:v>Orange</c:v>
                </c:pt>
                <c:pt idx="1">
                  <c:v>Dark blue</c:v>
                </c:pt>
                <c:pt idx="2">
                  <c:v>White</c:v>
                </c:pt>
                <c:pt idx="3">
                  <c:v>Red</c:v>
                </c:pt>
                <c:pt idx="4">
                  <c:v>Yellow</c:v>
                </c:pt>
                <c:pt idx="5">
                  <c:v>Light Blue</c:v>
                </c:pt>
                <c:pt idx="6">
                  <c:v>Green</c:v>
                </c:pt>
              </c:strCache>
            </c:strRef>
          </c:cat>
          <c:val>
            <c:numRef>
              <c:f>'Process 1 Data Analysis '!$AG$3:$AG$9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9-4864-9681-EE58CD9EF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4922128"/>
        <c:axId val="1474915408"/>
      </c:lineChart>
      <c:catAx>
        <c:axId val="151072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728127"/>
        <c:crosses val="autoZero"/>
        <c:auto val="1"/>
        <c:lblAlgn val="ctr"/>
        <c:lblOffset val="100"/>
        <c:noMultiLvlLbl val="0"/>
      </c:catAx>
      <c:valAx>
        <c:axId val="151072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725727"/>
        <c:crosses val="autoZero"/>
        <c:crossBetween val="between"/>
      </c:valAx>
      <c:valAx>
        <c:axId val="1474915408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22128"/>
        <c:crosses val="max"/>
        <c:crossBetween val="between"/>
      </c:valAx>
      <c:catAx>
        <c:axId val="14749221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491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P-Chart: Assembly Process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1 Data Analysis '!$P$61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'Process 1 Data Analysis '!$P$62:$P$66</c:f>
              <c:numCache>
                <c:formatCode>0.000</c:formatCode>
                <c:ptCount val="5"/>
                <c:pt idx="0">
                  <c:v>1</c:v>
                </c:pt>
                <c:pt idx="1">
                  <c:v>0.33333333333333331</c:v>
                </c:pt>
                <c:pt idx="2">
                  <c:v>1</c:v>
                </c:pt>
                <c:pt idx="3">
                  <c:v>0.66666666666666663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F-495A-983B-247CD5835ED1}"/>
            </c:ext>
          </c:extLst>
        </c:ser>
        <c:ser>
          <c:idx val="1"/>
          <c:order val="1"/>
          <c:tx>
            <c:strRef>
              <c:f>'Process 1 Data Analysis '!$Q$61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'!$Q$62:$Q$66</c:f>
              <c:numCache>
                <c:formatCode>General</c:formatCode>
                <c:ptCount val="5"/>
                <c:pt idx="0">
                  <c:v>0.3381197846482995</c:v>
                </c:pt>
                <c:pt idx="1">
                  <c:v>0.3381197846482995</c:v>
                </c:pt>
                <c:pt idx="2">
                  <c:v>0.3381197846482995</c:v>
                </c:pt>
                <c:pt idx="3">
                  <c:v>0.3381197846482995</c:v>
                </c:pt>
                <c:pt idx="4">
                  <c:v>0.3381197846482995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F-495A-983B-247CD5835ED1}"/>
            </c:ext>
          </c:extLst>
        </c:ser>
        <c:ser>
          <c:idx val="2"/>
          <c:order val="2"/>
          <c:tx>
            <c:strRef>
              <c:f>'Process 1 Data Analysis '!$R$61</c:f>
              <c:strCache>
                <c:ptCount val="1"/>
                <c:pt idx="0">
                  <c:v> ̅p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'!$R$62:$R$66</c:f>
              <c:numCache>
                <c:formatCode>0.000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F-495A-983B-247CD5835ED1}"/>
            </c:ext>
          </c:extLst>
        </c:ser>
        <c:ser>
          <c:idx val="3"/>
          <c:order val="3"/>
          <c:tx>
            <c:strRef>
              <c:f>'Process 1 Data Analysis '!$S$61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'!$S$62:$S$66</c:f>
              <c:numCache>
                <c:formatCode>General</c:formatCode>
                <c:ptCount val="5"/>
                <c:pt idx="0">
                  <c:v>1.2618802153517006</c:v>
                </c:pt>
                <c:pt idx="1">
                  <c:v>1.2618802153517006</c:v>
                </c:pt>
                <c:pt idx="2">
                  <c:v>1.2618802153517006</c:v>
                </c:pt>
                <c:pt idx="3">
                  <c:v>1.2618802153517006</c:v>
                </c:pt>
                <c:pt idx="4">
                  <c:v>1.2618802153517006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4F-495A-983B-247CD5835ED1}"/>
            </c:ext>
          </c:extLst>
        </c:ser>
        <c:ser>
          <c:idx val="4"/>
          <c:order val="4"/>
          <c:tx>
            <c:strRef>
              <c:f>'Process 1 Data Analysis '!$T$61</c:f>
              <c:strCache>
                <c:ptCount val="1"/>
                <c:pt idx="0">
                  <c:v>1,33σ (upper)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'!$T$62:$T$66</c:f>
              <c:numCache>
                <c:formatCode>General</c:formatCode>
                <c:ptCount val="5"/>
                <c:pt idx="0">
                  <c:v>1.1071503432088809</c:v>
                </c:pt>
                <c:pt idx="1">
                  <c:v>1.1071503432088809</c:v>
                </c:pt>
                <c:pt idx="2">
                  <c:v>1.1071503432088809</c:v>
                </c:pt>
                <c:pt idx="3">
                  <c:v>1.1071503432088809</c:v>
                </c:pt>
                <c:pt idx="4">
                  <c:v>1.1071503432088809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4F-495A-983B-247CD5835ED1}"/>
            </c:ext>
          </c:extLst>
        </c:ser>
        <c:ser>
          <c:idx val="5"/>
          <c:order val="5"/>
          <c:tx>
            <c:strRef>
              <c:f>'Process 1 Data Analysis '!$U$61</c:f>
              <c:strCache>
                <c:ptCount val="1"/>
                <c:pt idx="0">
                  <c:v>1,33σ (lower)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'!$U$62:$U$66</c:f>
              <c:numCache>
                <c:formatCode>General</c:formatCode>
                <c:ptCount val="5"/>
                <c:pt idx="0">
                  <c:v>0.4928496567911192</c:v>
                </c:pt>
                <c:pt idx="1">
                  <c:v>0.4928496567911192</c:v>
                </c:pt>
                <c:pt idx="2">
                  <c:v>0.4928496567911192</c:v>
                </c:pt>
                <c:pt idx="3">
                  <c:v>0.4928496567911192</c:v>
                </c:pt>
                <c:pt idx="4">
                  <c:v>0.4928496567911192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4F-495A-983B-247CD5835ED1}"/>
            </c:ext>
          </c:extLst>
        </c:ser>
        <c:ser>
          <c:idx val="6"/>
          <c:order val="6"/>
          <c:tx>
            <c:strRef>
              <c:f>'Process 1 Data Analysis '!$V$61</c:f>
              <c:strCache>
                <c:ptCount val="1"/>
                <c:pt idx="0">
                  <c:v>0,67σ (upper)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'!$V$62:$V$66</c:f>
              <c:numCache>
                <c:formatCode>General</c:formatCode>
                <c:ptCount val="5"/>
                <c:pt idx="0">
                  <c:v>0.95472987214281968</c:v>
                </c:pt>
                <c:pt idx="1">
                  <c:v>0.95472987214281968</c:v>
                </c:pt>
                <c:pt idx="2">
                  <c:v>0.95472987214281968</c:v>
                </c:pt>
                <c:pt idx="3">
                  <c:v>0.95472987214281968</c:v>
                </c:pt>
                <c:pt idx="4">
                  <c:v>0.95472987214281968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4F-495A-983B-247CD5835ED1}"/>
            </c:ext>
          </c:extLst>
        </c:ser>
        <c:ser>
          <c:idx val="7"/>
          <c:order val="7"/>
          <c:tx>
            <c:strRef>
              <c:f>'Process 1 Data Analysis '!$W$61</c:f>
              <c:strCache>
                <c:ptCount val="1"/>
                <c:pt idx="0">
                  <c:v>0,67σ (lower)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'!$W$62:$W$66</c:f>
              <c:numCache>
                <c:formatCode>General</c:formatCode>
                <c:ptCount val="5"/>
                <c:pt idx="0">
                  <c:v>0.64527012785718041</c:v>
                </c:pt>
                <c:pt idx="1">
                  <c:v>0.64527012785718041</c:v>
                </c:pt>
                <c:pt idx="2">
                  <c:v>0.64527012785718041</c:v>
                </c:pt>
                <c:pt idx="3">
                  <c:v>0.64527012785718041</c:v>
                </c:pt>
                <c:pt idx="4">
                  <c:v>0.64527012785718041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4F-495A-983B-247CD5835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719231"/>
        <c:axId val="1579723071"/>
      </c:lineChart>
      <c:catAx>
        <c:axId val="1579719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 (Subgroup)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23071"/>
        <c:crosses val="autoZero"/>
        <c:auto val="1"/>
        <c:lblAlgn val="ctr"/>
        <c:lblOffset val="100"/>
        <c:noMultiLvlLbl val="0"/>
      </c:catAx>
      <c:valAx>
        <c:axId val="157972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Proportion of</a:t>
                </a:r>
                <a:r>
                  <a:rPr lang="en-ZA" baseline="0"/>
                  <a:t> Defectives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1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C-Chart: Assembly Process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1 Data Analysis '!$P$30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'Process 1 Data Analysis '!$P$31:$P$45</c:f>
              <c:numCache>
                <c:formatCode>0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6-4250-BB75-CFC1435B27F9}"/>
            </c:ext>
          </c:extLst>
        </c:ser>
        <c:ser>
          <c:idx val="1"/>
          <c:order val="1"/>
          <c:tx>
            <c:strRef>
              <c:f>'Process 1 Data Analysis '!$Q$30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'!$Q$31:$Q$45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6-4250-BB75-CFC1435B27F9}"/>
            </c:ext>
          </c:extLst>
        </c:ser>
        <c:ser>
          <c:idx val="2"/>
          <c:order val="2"/>
          <c:tx>
            <c:strRef>
              <c:f>'Process 1 Data Analysis '!$R$30</c:f>
              <c:strCache>
                <c:ptCount val="1"/>
                <c:pt idx="0">
                  <c:v> ̅c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'!$R$31:$R$45</c:f>
              <c:numCache>
                <c:formatCode>0.0000</c:formatCode>
                <c:ptCount val="15"/>
                <c:pt idx="0">
                  <c:v>1.2666666666666666</c:v>
                </c:pt>
                <c:pt idx="1">
                  <c:v>1.2666666666666666</c:v>
                </c:pt>
                <c:pt idx="2">
                  <c:v>1.2666666666666666</c:v>
                </c:pt>
                <c:pt idx="3">
                  <c:v>1.2666666666666666</c:v>
                </c:pt>
                <c:pt idx="4">
                  <c:v>1.2666666666666666</c:v>
                </c:pt>
                <c:pt idx="5">
                  <c:v>1.2666666666666666</c:v>
                </c:pt>
                <c:pt idx="6">
                  <c:v>1.2666666666666666</c:v>
                </c:pt>
                <c:pt idx="7">
                  <c:v>1.2666666666666666</c:v>
                </c:pt>
                <c:pt idx="8">
                  <c:v>1.2666666666666666</c:v>
                </c:pt>
                <c:pt idx="9">
                  <c:v>1.2666666666666666</c:v>
                </c:pt>
                <c:pt idx="10">
                  <c:v>1.2666666666666666</c:v>
                </c:pt>
                <c:pt idx="11">
                  <c:v>1.2666666666666666</c:v>
                </c:pt>
                <c:pt idx="12">
                  <c:v>1.2666666666666666</c:v>
                </c:pt>
                <c:pt idx="13">
                  <c:v>1.2666666666666666</c:v>
                </c:pt>
                <c:pt idx="14">
                  <c:v>1.2666666666666666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86-4250-BB75-CFC1435B27F9}"/>
            </c:ext>
          </c:extLst>
        </c:ser>
        <c:ser>
          <c:idx val="3"/>
          <c:order val="3"/>
          <c:tx>
            <c:strRef>
              <c:f>'Process 1 Data Analysis '!$S$30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'!$S$31:$S$45</c:f>
              <c:numCache>
                <c:formatCode>General</c:formatCode>
                <c:ptCount val="15"/>
                <c:pt idx="0">
                  <c:v>3.5175924021512177</c:v>
                </c:pt>
                <c:pt idx="1">
                  <c:v>3.5175924021512177</c:v>
                </c:pt>
                <c:pt idx="2">
                  <c:v>3.5175924021512177</c:v>
                </c:pt>
                <c:pt idx="3">
                  <c:v>3.5175924021512177</c:v>
                </c:pt>
                <c:pt idx="4">
                  <c:v>3.5175924021512177</c:v>
                </c:pt>
                <c:pt idx="5">
                  <c:v>3.5175924021512177</c:v>
                </c:pt>
                <c:pt idx="6">
                  <c:v>3.5175924021512177</c:v>
                </c:pt>
                <c:pt idx="7">
                  <c:v>3.5175924021512177</c:v>
                </c:pt>
                <c:pt idx="8">
                  <c:v>3.5175924021512177</c:v>
                </c:pt>
                <c:pt idx="9">
                  <c:v>3.5175924021512177</c:v>
                </c:pt>
                <c:pt idx="10">
                  <c:v>3.5175924021512177</c:v>
                </c:pt>
                <c:pt idx="11">
                  <c:v>3.5175924021512177</c:v>
                </c:pt>
                <c:pt idx="12">
                  <c:v>3.5175924021512177</c:v>
                </c:pt>
                <c:pt idx="13">
                  <c:v>3.5175924021512177</c:v>
                </c:pt>
                <c:pt idx="14">
                  <c:v>3.5175924021512177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86-4250-BB75-CFC1435B27F9}"/>
            </c:ext>
          </c:extLst>
        </c:ser>
        <c:ser>
          <c:idx val="4"/>
          <c:order val="4"/>
          <c:tx>
            <c:strRef>
              <c:f>'Process 1 Data Analysis '!$T$30</c:f>
              <c:strCache>
                <c:ptCount val="1"/>
                <c:pt idx="0">
                  <c:v>1,33σ (upper)</c:v>
                </c:pt>
              </c:strCache>
            </c:strRef>
          </c:tx>
          <c:spPr>
            <a:ln w="15875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'!$T$31:$T$45</c:f>
              <c:numCache>
                <c:formatCode>General</c:formatCode>
                <c:ptCount val="15"/>
                <c:pt idx="0">
                  <c:v>2.7635322807638931</c:v>
                </c:pt>
                <c:pt idx="1">
                  <c:v>2.7635322807638931</c:v>
                </c:pt>
                <c:pt idx="2">
                  <c:v>2.7635322807638931</c:v>
                </c:pt>
                <c:pt idx="3">
                  <c:v>2.7635322807638931</c:v>
                </c:pt>
                <c:pt idx="4">
                  <c:v>2.7635322807638931</c:v>
                </c:pt>
                <c:pt idx="5">
                  <c:v>2.7635322807638931</c:v>
                </c:pt>
                <c:pt idx="6">
                  <c:v>2.7635322807638931</c:v>
                </c:pt>
                <c:pt idx="7">
                  <c:v>2.7635322807638931</c:v>
                </c:pt>
                <c:pt idx="8">
                  <c:v>2.7635322807638931</c:v>
                </c:pt>
                <c:pt idx="9">
                  <c:v>2.7635322807638931</c:v>
                </c:pt>
                <c:pt idx="10">
                  <c:v>2.7635322807638931</c:v>
                </c:pt>
                <c:pt idx="11">
                  <c:v>2.7635322807638931</c:v>
                </c:pt>
                <c:pt idx="12">
                  <c:v>2.7635322807638931</c:v>
                </c:pt>
                <c:pt idx="13">
                  <c:v>2.7635322807638931</c:v>
                </c:pt>
                <c:pt idx="14">
                  <c:v>2.7635322807638931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86-4250-BB75-CFC1435B27F9}"/>
            </c:ext>
          </c:extLst>
        </c:ser>
        <c:ser>
          <c:idx val="5"/>
          <c:order val="5"/>
          <c:tx>
            <c:strRef>
              <c:f>'Process 1 Data Analysis '!$U$30</c:f>
              <c:strCache>
                <c:ptCount val="1"/>
                <c:pt idx="0">
                  <c:v>1,33σ (lower)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'!$U$31:$U$45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86-4250-BB75-CFC1435B27F9}"/>
            </c:ext>
          </c:extLst>
        </c:ser>
        <c:ser>
          <c:idx val="6"/>
          <c:order val="6"/>
          <c:tx>
            <c:strRef>
              <c:f>'Process 1 Data Analysis '!$V$30</c:f>
              <c:strCache>
                <c:ptCount val="1"/>
                <c:pt idx="0">
                  <c:v>0,67σ (upper)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'!$V$31:$V$45</c:f>
              <c:numCache>
                <c:formatCode>General</c:formatCode>
                <c:ptCount val="15"/>
                <c:pt idx="0">
                  <c:v>2.0207267880539912</c:v>
                </c:pt>
                <c:pt idx="1">
                  <c:v>2.0207267880539912</c:v>
                </c:pt>
                <c:pt idx="2">
                  <c:v>2.0207267880539912</c:v>
                </c:pt>
                <c:pt idx="3">
                  <c:v>2.0207267880539912</c:v>
                </c:pt>
                <c:pt idx="4">
                  <c:v>2.0207267880539912</c:v>
                </c:pt>
                <c:pt idx="5">
                  <c:v>2.0207267880539912</c:v>
                </c:pt>
                <c:pt idx="6">
                  <c:v>2.0207267880539912</c:v>
                </c:pt>
                <c:pt idx="7">
                  <c:v>2.0207267880539912</c:v>
                </c:pt>
                <c:pt idx="8">
                  <c:v>2.0207267880539912</c:v>
                </c:pt>
                <c:pt idx="9">
                  <c:v>2.0207267880539912</c:v>
                </c:pt>
                <c:pt idx="10">
                  <c:v>2.0207267880539912</c:v>
                </c:pt>
                <c:pt idx="11">
                  <c:v>2.0207267880539912</c:v>
                </c:pt>
                <c:pt idx="12">
                  <c:v>2.0207267880539912</c:v>
                </c:pt>
                <c:pt idx="13">
                  <c:v>2.0207267880539912</c:v>
                </c:pt>
                <c:pt idx="14">
                  <c:v>2.0207267880539912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86-4250-BB75-CFC1435B27F9}"/>
            </c:ext>
          </c:extLst>
        </c:ser>
        <c:ser>
          <c:idx val="7"/>
          <c:order val="7"/>
          <c:tx>
            <c:strRef>
              <c:f>'Process 1 Data Analysis '!$W$30</c:f>
              <c:strCache>
                <c:ptCount val="1"/>
                <c:pt idx="0">
                  <c:v>0,67σ (lower)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'!$W$31:$W$45</c:f>
              <c:numCache>
                <c:formatCode>General</c:formatCode>
                <c:ptCount val="15"/>
                <c:pt idx="0">
                  <c:v>0.51260654527934191</c:v>
                </c:pt>
                <c:pt idx="1">
                  <c:v>0.51260654527934191</c:v>
                </c:pt>
                <c:pt idx="2">
                  <c:v>0.51260654527934191</c:v>
                </c:pt>
                <c:pt idx="3">
                  <c:v>0.51260654527934191</c:v>
                </c:pt>
                <c:pt idx="4">
                  <c:v>0.51260654527934191</c:v>
                </c:pt>
                <c:pt idx="5">
                  <c:v>0.51260654527934191</c:v>
                </c:pt>
                <c:pt idx="6">
                  <c:v>0.51260654527934191</c:v>
                </c:pt>
                <c:pt idx="7">
                  <c:v>0.51260654527934191</c:v>
                </c:pt>
                <c:pt idx="8">
                  <c:v>0.51260654527934191</c:v>
                </c:pt>
                <c:pt idx="9">
                  <c:v>0.51260654527934191</c:v>
                </c:pt>
                <c:pt idx="10">
                  <c:v>0.51260654527934191</c:v>
                </c:pt>
                <c:pt idx="11">
                  <c:v>0.51260654527934191</c:v>
                </c:pt>
                <c:pt idx="12">
                  <c:v>0.51260654527934191</c:v>
                </c:pt>
                <c:pt idx="13">
                  <c:v>0.51260654527934191</c:v>
                </c:pt>
                <c:pt idx="14">
                  <c:v>0.51260654527934191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86-4250-BB75-CFC1435B2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927152"/>
        <c:axId val="587915632"/>
      </c:lineChart>
      <c:catAx>
        <c:axId val="587927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</a:t>
                </a:r>
                <a:r>
                  <a:rPr lang="en-ZA" baseline="0"/>
                  <a:t> Number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15632"/>
        <c:crosses val="autoZero"/>
        <c:auto val="1"/>
        <c:lblAlgn val="ctr"/>
        <c:lblOffset val="100"/>
        <c:noMultiLvlLbl val="0"/>
      </c:catAx>
      <c:valAx>
        <c:axId val="58791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Dfect</a:t>
                </a:r>
                <a:r>
                  <a:rPr lang="en-ZA" baseline="0"/>
                  <a:t> Count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2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Np-Chart: Defect Identification Process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1 Data Analysis '!$N$2</c:f>
              <c:strCache>
                <c:ptCount val="1"/>
                <c:pt idx="0">
                  <c:v>npi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'Process 1 Data Analysis '!$N$3:$N$17</c:f>
              <c:numCache>
                <c:formatCode>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C-484D-850F-DFC05085D7D7}"/>
            </c:ext>
          </c:extLst>
        </c:ser>
        <c:ser>
          <c:idx val="1"/>
          <c:order val="1"/>
          <c:tx>
            <c:strRef>
              <c:f>'Process 1 Data Analysis '!$O$2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'!$O$3:$O$17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0C-484D-850F-DFC05085D7D7}"/>
            </c:ext>
          </c:extLst>
        </c:ser>
        <c:ser>
          <c:idx val="2"/>
          <c:order val="2"/>
          <c:tx>
            <c:strRef>
              <c:f>'Process 1 Data Analysis '!$P$2</c:f>
              <c:strCache>
                <c:ptCount val="1"/>
                <c:pt idx="0">
                  <c:v>n ̅p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'!$P$3:$P$17</c:f>
              <c:numCache>
                <c:formatCode>0.0000</c:formatCode>
                <c:ptCount val="15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1.2</c:v>
                </c:pt>
                <c:pt idx="6">
                  <c:v>1.2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C-484D-850F-DFC05085D7D7}"/>
            </c:ext>
          </c:extLst>
        </c:ser>
        <c:ser>
          <c:idx val="3"/>
          <c:order val="3"/>
          <c:tx>
            <c:strRef>
              <c:f>'Process 1 Data Analysis '!$Q$2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1 Data Analysis '!$Q$3:$Q$17</c:f>
              <c:numCache>
                <c:formatCode>0.0000</c:formatCode>
                <c:ptCount val="15"/>
                <c:pt idx="0">
                  <c:v>3.3908902300206645</c:v>
                </c:pt>
                <c:pt idx="1">
                  <c:v>3.3908902300206645</c:v>
                </c:pt>
                <c:pt idx="2">
                  <c:v>3.3908902300206645</c:v>
                </c:pt>
                <c:pt idx="3">
                  <c:v>3.3908902300206645</c:v>
                </c:pt>
                <c:pt idx="4">
                  <c:v>3.3908902300206645</c:v>
                </c:pt>
                <c:pt idx="5">
                  <c:v>3.3908902300206645</c:v>
                </c:pt>
                <c:pt idx="6">
                  <c:v>3.3908902300206645</c:v>
                </c:pt>
                <c:pt idx="7">
                  <c:v>3.3908902300206645</c:v>
                </c:pt>
                <c:pt idx="8">
                  <c:v>3.3908902300206645</c:v>
                </c:pt>
                <c:pt idx="9">
                  <c:v>3.3908902300206645</c:v>
                </c:pt>
                <c:pt idx="10">
                  <c:v>3.3908902300206645</c:v>
                </c:pt>
                <c:pt idx="11">
                  <c:v>3.3908902300206645</c:v>
                </c:pt>
                <c:pt idx="12">
                  <c:v>3.3908902300206645</c:v>
                </c:pt>
                <c:pt idx="13">
                  <c:v>3.3908902300206645</c:v>
                </c:pt>
                <c:pt idx="14">
                  <c:v>3.3908902300206645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C-484D-850F-DFC05085D7D7}"/>
            </c:ext>
          </c:extLst>
        </c:ser>
        <c:ser>
          <c:idx val="4"/>
          <c:order val="4"/>
          <c:tx>
            <c:strRef>
              <c:f>'Process 1 Data Analysis '!$R$2</c:f>
              <c:strCache>
                <c:ptCount val="1"/>
                <c:pt idx="0">
                  <c:v>1,33σ (upper)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'!$R$3:$R$17</c:f>
              <c:numCache>
                <c:formatCode>General</c:formatCode>
                <c:ptCount val="15"/>
                <c:pt idx="0">
                  <c:v>2.6569420029637421</c:v>
                </c:pt>
                <c:pt idx="1">
                  <c:v>2.6569420029637421</c:v>
                </c:pt>
                <c:pt idx="2">
                  <c:v>2.6569420029637421</c:v>
                </c:pt>
                <c:pt idx="3">
                  <c:v>2.6569420029637421</c:v>
                </c:pt>
                <c:pt idx="4">
                  <c:v>2.6569420029637421</c:v>
                </c:pt>
                <c:pt idx="5">
                  <c:v>2.6569420029637421</c:v>
                </c:pt>
                <c:pt idx="6">
                  <c:v>2.6569420029637421</c:v>
                </c:pt>
                <c:pt idx="7">
                  <c:v>2.6569420029637421</c:v>
                </c:pt>
                <c:pt idx="8">
                  <c:v>2.6569420029637421</c:v>
                </c:pt>
                <c:pt idx="9">
                  <c:v>2.6569420029637421</c:v>
                </c:pt>
                <c:pt idx="10">
                  <c:v>2.6569420029637421</c:v>
                </c:pt>
                <c:pt idx="11">
                  <c:v>2.6569420029637421</c:v>
                </c:pt>
                <c:pt idx="12">
                  <c:v>2.6569420029637421</c:v>
                </c:pt>
                <c:pt idx="13">
                  <c:v>2.6569420029637421</c:v>
                </c:pt>
                <c:pt idx="14">
                  <c:v>2.6569420029637421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0C-484D-850F-DFC05085D7D7}"/>
            </c:ext>
          </c:extLst>
        </c:ser>
        <c:ser>
          <c:idx val="5"/>
          <c:order val="5"/>
          <c:tx>
            <c:strRef>
              <c:f>'Process 1 Data Analysis '!$S$2</c:f>
              <c:strCache>
                <c:ptCount val="1"/>
                <c:pt idx="0">
                  <c:v>1,33σ (lower)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'!$S$3:$S$17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0C-484D-850F-DFC05085D7D7}"/>
            </c:ext>
          </c:extLst>
        </c:ser>
        <c:ser>
          <c:idx val="6"/>
          <c:order val="6"/>
          <c:tx>
            <c:strRef>
              <c:f>'Process 1 Data Analysis '!$T$2</c:f>
              <c:strCache>
                <c:ptCount val="1"/>
                <c:pt idx="0">
                  <c:v>0,67σ (upper)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'!$T$3:$T$17</c:f>
              <c:numCache>
                <c:formatCode>0.0000</c:formatCode>
                <c:ptCount val="15"/>
                <c:pt idx="0">
                  <c:v>1.9339482270569226</c:v>
                </c:pt>
                <c:pt idx="1">
                  <c:v>1.9339482270569226</c:v>
                </c:pt>
                <c:pt idx="2">
                  <c:v>1.9339482270569226</c:v>
                </c:pt>
                <c:pt idx="3">
                  <c:v>1.9339482270569226</c:v>
                </c:pt>
                <c:pt idx="4">
                  <c:v>1.9339482270569226</c:v>
                </c:pt>
                <c:pt idx="5">
                  <c:v>1.9339482270569226</c:v>
                </c:pt>
                <c:pt idx="6">
                  <c:v>1.9339482270569226</c:v>
                </c:pt>
                <c:pt idx="7">
                  <c:v>1.9339482270569226</c:v>
                </c:pt>
                <c:pt idx="8">
                  <c:v>1.9339482270569226</c:v>
                </c:pt>
                <c:pt idx="9">
                  <c:v>1.9339482270569226</c:v>
                </c:pt>
                <c:pt idx="10">
                  <c:v>1.9339482270569226</c:v>
                </c:pt>
                <c:pt idx="11">
                  <c:v>1.9339482270569226</c:v>
                </c:pt>
                <c:pt idx="12">
                  <c:v>1.9339482270569226</c:v>
                </c:pt>
                <c:pt idx="13">
                  <c:v>1.9339482270569226</c:v>
                </c:pt>
                <c:pt idx="14">
                  <c:v>1.9339482270569226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0C-484D-850F-DFC05085D7D7}"/>
            </c:ext>
          </c:extLst>
        </c:ser>
        <c:ser>
          <c:idx val="7"/>
          <c:order val="7"/>
          <c:tx>
            <c:strRef>
              <c:f>'Process 1 Data Analysis '!$U$2</c:f>
              <c:strCache>
                <c:ptCount val="1"/>
                <c:pt idx="0">
                  <c:v>0,67σ (lower)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1 Data Analysis '!$U$3:$U$17</c:f>
              <c:numCache>
                <c:formatCode>General</c:formatCode>
                <c:ptCount val="15"/>
                <c:pt idx="0">
                  <c:v>0.46605177294307742</c:v>
                </c:pt>
                <c:pt idx="1">
                  <c:v>0.46605177294307742</c:v>
                </c:pt>
                <c:pt idx="2">
                  <c:v>0.46605177294307742</c:v>
                </c:pt>
                <c:pt idx="3">
                  <c:v>0.46605177294307742</c:v>
                </c:pt>
                <c:pt idx="4">
                  <c:v>0.46605177294307742</c:v>
                </c:pt>
                <c:pt idx="5">
                  <c:v>0.46605177294307742</c:v>
                </c:pt>
                <c:pt idx="6">
                  <c:v>0.46605177294307742</c:v>
                </c:pt>
                <c:pt idx="7">
                  <c:v>0.46605177294307742</c:v>
                </c:pt>
                <c:pt idx="8">
                  <c:v>0.46605177294307742</c:v>
                </c:pt>
                <c:pt idx="9">
                  <c:v>0.46605177294307742</c:v>
                </c:pt>
                <c:pt idx="10">
                  <c:v>0.46605177294307742</c:v>
                </c:pt>
                <c:pt idx="11">
                  <c:v>0.46605177294307742</c:v>
                </c:pt>
                <c:pt idx="12">
                  <c:v>0.46605177294307742</c:v>
                </c:pt>
                <c:pt idx="13">
                  <c:v>0.46605177294307742</c:v>
                </c:pt>
                <c:pt idx="14">
                  <c:v>0.46605177294307742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0C-484D-850F-DFC05085D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138848"/>
        <c:axId val="1390140768"/>
      </c:lineChart>
      <c:catAx>
        <c:axId val="139013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140768"/>
        <c:crosses val="autoZero"/>
        <c:auto val="1"/>
        <c:lblAlgn val="ctr"/>
        <c:lblOffset val="100"/>
        <c:noMultiLvlLbl val="0"/>
      </c:catAx>
      <c:valAx>
        <c:axId val="13901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Defects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1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P-Chart: Assembly Process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'Process 2 Data Analysis'!$B$148:$B$187</c:f>
              <c:numCache>
                <c:formatCode>0.0000</c:formatCode>
                <c:ptCount val="40"/>
                <c:pt idx="0">
                  <c:v>0.5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0.25</c:v>
                </c:pt>
                <c:pt idx="5">
                  <c:v>0.25</c:v>
                </c:pt>
                <c:pt idx="6">
                  <c:v>1</c:v>
                </c:pt>
                <c:pt idx="7">
                  <c:v>0.5</c:v>
                </c:pt>
                <c:pt idx="8">
                  <c:v>0.33333333333333331</c:v>
                </c:pt>
                <c:pt idx="9">
                  <c:v>1</c:v>
                </c:pt>
                <c:pt idx="10">
                  <c:v>1</c:v>
                </c:pt>
                <c:pt idx="11">
                  <c:v>0.5</c:v>
                </c:pt>
                <c:pt idx="12">
                  <c:v>0.25</c:v>
                </c:pt>
                <c:pt idx="13">
                  <c:v>0.5</c:v>
                </c:pt>
                <c:pt idx="14">
                  <c:v>0.33333333333333331</c:v>
                </c:pt>
                <c:pt idx="15">
                  <c:v>1</c:v>
                </c:pt>
                <c:pt idx="16">
                  <c:v>1</c:v>
                </c:pt>
                <c:pt idx="17">
                  <c:v>0.25</c:v>
                </c:pt>
                <c:pt idx="18">
                  <c:v>0.5</c:v>
                </c:pt>
                <c:pt idx="19">
                  <c:v>1</c:v>
                </c:pt>
                <c:pt idx="20">
                  <c:v>0.5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0.25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</c:v>
                </c:pt>
                <c:pt idx="27">
                  <c:v>0.16666666666666666</c:v>
                </c:pt>
                <c:pt idx="28">
                  <c:v>0.33333333333333331</c:v>
                </c:pt>
                <c:pt idx="29">
                  <c:v>0.16666666666666666</c:v>
                </c:pt>
                <c:pt idx="30">
                  <c:v>0.33333333333333331</c:v>
                </c:pt>
                <c:pt idx="31">
                  <c:v>0.33333333333333331</c:v>
                </c:pt>
                <c:pt idx="32">
                  <c:v>0.25</c:v>
                </c:pt>
                <c:pt idx="33">
                  <c:v>0.33333333333333331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0.33333333333333331</c:v>
                </c:pt>
                <c:pt idx="37">
                  <c:v>0.33333333333333331</c:v>
                </c:pt>
                <c:pt idx="38">
                  <c:v>0.14285714285714285</c:v>
                </c:pt>
                <c:pt idx="39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2-4861-AACA-1069FF7BC06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Analysis'!$C$148:$C$187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72-4861-AACA-1069FF7BC06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Analysis'!$D$148:$D$187</c:f>
              <c:numCache>
                <c:formatCode>0.0000</c:formatCode>
                <c:ptCount val="40"/>
                <c:pt idx="0">
                  <c:v>0.30158730158730157</c:v>
                </c:pt>
                <c:pt idx="1">
                  <c:v>0.30158730158730157</c:v>
                </c:pt>
                <c:pt idx="2">
                  <c:v>0.30158730158730157</c:v>
                </c:pt>
                <c:pt idx="3">
                  <c:v>0.30158730158730157</c:v>
                </c:pt>
                <c:pt idx="4">
                  <c:v>0.30158730158730157</c:v>
                </c:pt>
                <c:pt idx="5">
                  <c:v>0.30158730158730157</c:v>
                </c:pt>
                <c:pt idx="6">
                  <c:v>0.30158730158730157</c:v>
                </c:pt>
                <c:pt idx="7">
                  <c:v>0.30158730158730157</c:v>
                </c:pt>
                <c:pt idx="8">
                  <c:v>0.30158730158730157</c:v>
                </c:pt>
                <c:pt idx="9">
                  <c:v>0.30158730158730157</c:v>
                </c:pt>
                <c:pt idx="10">
                  <c:v>0.30158730158730157</c:v>
                </c:pt>
                <c:pt idx="11">
                  <c:v>0.30158730158730157</c:v>
                </c:pt>
                <c:pt idx="12">
                  <c:v>0.30158730158730157</c:v>
                </c:pt>
                <c:pt idx="13">
                  <c:v>0.30158730158730157</c:v>
                </c:pt>
                <c:pt idx="14">
                  <c:v>0.30158730158730157</c:v>
                </c:pt>
                <c:pt idx="15">
                  <c:v>0.30158730158730157</c:v>
                </c:pt>
                <c:pt idx="16">
                  <c:v>0.30158730158730157</c:v>
                </c:pt>
                <c:pt idx="17">
                  <c:v>0.30158730158730157</c:v>
                </c:pt>
                <c:pt idx="18">
                  <c:v>0.30158730158730157</c:v>
                </c:pt>
                <c:pt idx="19">
                  <c:v>0.30158730158730157</c:v>
                </c:pt>
                <c:pt idx="20">
                  <c:v>0.30158730158730157</c:v>
                </c:pt>
                <c:pt idx="21">
                  <c:v>0.30158730158730157</c:v>
                </c:pt>
                <c:pt idx="22">
                  <c:v>0.30158730158730157</c:v>
                </c:pt>
                <c:pt idx="23">
                  <c:v>0.30158730158730157</c:v>
                </c:pt>
                <c:pt idx="24">
                  <c:v>0.30158730158730157</c:v>
                </c:pt>
                <c:pt idx="25">
                  <c:v>0.30158730158730157</c:v>
                </c:pt>
                <c:pt idx="26">
                  <c:v>0.30158730158730157</c:v>
                </c:pt>
                <c:pt idx="27">
                  <c:v>0.30158730158730157</c:v>
                </c:pt>
                <c:pt idx="28">
                  <c:v>0.30158730158730157</c:v>
                </c:pt>
                <c:pt idx="29">
                  <c:v>0.30158730158730157</c:v>
                </c:pt>
                <c:pt idx="30">
                  <c:v>0.30158730158730157</c:v>
                </c:pt>
                <c:pt idx="31">
                  <c:v>0.30158730158730157</c:v>
                </c:pt>
                <c:pt idx="32">
                  <c:v>0.30158730158730157</c:v>
                </c:pt>
                <c:pt idx="33">
                  <c:v>0.30158730158730157</c:v>
                </c:pt>
                <c:pt idx="34">
                  <c:v>0.30158730158730157</c:v>
                </c:pt>
                <c:pt idx="35">
                  <c:v>0.30158730158730157</c:v>
                </c:pt>
                <c:pt idx="36">
                  <c:v>0.30158730158730157</c:v>
                </c:pt>
                <c:pt idx="37">
                  <c:v>0.30158730158730157</c:v>
                </c:pt>
                <c:pt idx="38">
                  <c:v>0.30158730158730157</c:v>
                </c:pt>
                <c:pt idx="39">
                  <c:v>0.30158730158730157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72-4861-AACA-1069FF7BC06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Analysis'!$E$148:$E$187</c:f>
              <c:numCache>
                <c:formatCode>General</c:formatCode>
                <c:ptCount val="40"/>
                <c:pt idx="0">
                  <c:v>0.95063645397653551</c:v>
                </c:pt>
                <c:pt idx="1">
                  <c:v>0.64851866664680768</c:v>
                </c:pt>
                <c:pt idx="2">
                  <c:v>0.83153371536714982</c:v>
                </c:pt>
                <c:pt idx="3">
                  <c:v>0.83153371536714982</c:v>
                </c:pt>
                <c:pt idx="4">
                  <c:v>0.76053435856510987</c:v>
                </c:pt>
                <c:pt idx="5">
                  <c:v>0.76053435856510987</c:v>
                </c:pt>
                <c:pt idx="6">
                  <c:v>1.2194814155429181</c:v>
                </c:pt>
                <c:pt idx="7">
                  <c:v>0.95063645397653551</c:v>
                </c:pt>
                <c:pt idx="8">
                  <c:v>0.83153371536714982</c:v>
                </c:pt>
                <c:pt idx="9">
                  <c:v>1.2194814155429181</c:v>
                </c:pt>
                <c:pt idx="10">
                  <c:v>1.2194814155429181</c:v>
                </c:pt>
                <c:pt idx="11">
                  <c:v>0.95063645397653551</c:v>
                </c:pt>
                <c:pt idx="12">
                  <c:v>0.76053435856510987</c:v>
                </c:pt>
                <c:pt idx="13">
                  <c:v>0.95063645397653551</c:v>
                </c:pt>
                <c:pt idx="14">
                  <c:v>0.83153371536714982</c:v>
                </c:pt>
                <c:pt idx="15">
                  <c:v>1.2194814155429181</c:v>
                </c:pt>
                <c:pt idx="16">
                  <c:v>1.2194814155429181</c:v>
                </c:pt>
                <c:pt idx="17">
                  <c:v>0.76053435856510987</c:v>
                </c:pt>
                <c:pt idx="18">
                  <c:v>0.95063645397653551</c:v>
                </c:pt>
                <c:pt idx="19">
                  <c:v>1.2194814155429181</c:v>
                </c:pt>
                <c:pt idx="20">
                  <c:v>0.95063645397653551</c:v>
                </c:pt>
                <c:pt idx="21">
                  <c:v>0.83153371536714982</c:v>
                </c:pt>
                <c:pt idx="22">
                  <c:v>0.83153371536714982</c:v>
                </c:pt>
                <c:pt idx="23">
                  <c:v>0.76053435856510987</c:v>
                </c:pt>
                <c:pt idx="24">
                  <c:v>0.83153371536714982</c:v>
                </c:pt>
                <c:pt idx="25">
                  <c:v>0.83153371536714982</c:v>
                </c:pt>
                <c:pt idx="26">
                  <c:v>0.64851866664680768</c:v>
                </c:pt>
                <c:pt idx="27">
                  <c:v>0.67631600443652429</c:v>
                </c:pt>
                <c:pt idx="28">
                  <c:v>0.83153371536714982</c:v>
                </c:pt>
                <c:pt idx="29">
                  <c:v>0.67631600443652429</c:v>
                </c:pt>
                <c:pt idx="30">
                  <c:v>0.83153371536714982</c:v>
                </c:pt>
                <c:pt idx="31">
                  <c:v>0.83153371536714982</c:v>
                </c:pt>
                <c:pt idx="32">
                  <c:v>0.76053435856510987</c:v>
                </c:pt>
                <c:pt idx="33">
                  <c:v>0.83153371536714982</c:v>
                </c:pt>
                <c:pt idx="34">
                  <c:v>0.83153371536714982</c:v>
                </c:pt>
                <c:pt idx="35">
                  <c:v>0.83153371536714982</c:v>
                </c:pt>
                <c:pt idx="36">
                  <c:v>0.83153371536714982</c:v>
                </c:pt>
                <c:pt idx="37">
                  <c:v>0.83153371536714982</c:v>
                </c:pt>
                <c:pt idx="38">
                  <c:v>0.64851866664680768</c:v>
                </c:pt>
                <c:pt idx="39">
                  <c:v>0.83153371536714982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72-4861-AACA-1069FF7B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9727391"/>
        <c:axId val="1579725471"/>
      </c:lineChart>
      <c:catAx>
        <c:axId val="157972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25471"/>
        <c:crosses val="autoZero"/>
        <c:auto val="1"/>
        <c:lblAlgn val="ctr"/>
        <c:lblOffset val="100"/>
        <c:noMultiLvlLbl val="0"/>
      </c:catAx>
      <c:valAx>
        <c:axId val="157972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Propotion of Defects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72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Pareto Chart: Defect Identification Process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'Process 2 Data Analysis'!$X$2</c:f>
              <c:strCache>
                <c:ptCount val="1"/>
                <c:pt idx="0">
                  <c:v>Number of Defects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'Process 2 Data Analysis'!$W$3:$W$9</c:f>
              <c:strCache>
                <c:ptCount val="7"/>
                <c:pt idx="0">
                  <c:v>Red</c:v>
                </c:pt>
                <c:pt idx="1">
                  <c:v>Dark blue</c:v>
                </c:pt>
                <c:pt idx="2">
                  <c:v>White</c:v>
                </c:pt>
                <c:pt idx="3">
                  <c:v>Yellow</c:v>
                </c:pt>
                <c:pt idx="4">
                  <c:v>Orange</c:v>
                </c:pt>
                <c:pt idx="5">
                  <c:v>Light Blue</c:v>
                </c:pt>
                <c:pt idx="6">
                  <c:v>Green</c:v>
                </c:pt>
              </c:strCache>
            </c:strRef>
          </c:cat>
          <c:val>
            <c:numRef>
              <c:f>'Process 2 Data Analysis'!$X$3:$X$9</c:f>
              <c:numCache>
                <c:formatCode>General</c:formatCode>
                <c:ptCount val="7"/>
                <c:pt idx="0">
                  <c:v>13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2-4D24-B135-C97037FC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50"/>
        <c:axId val="2127421184"/>
        <c:axId val="2127419744"/>
      </c:barChart>
      <c:lineChart>
        <c:grouping val="standard"/>
        <c:varyColors val="0"/>
        <c:ser>
          <c:idx val="1"/>
          <c:order val="1"/>
          <c:tx>
            <c:strRef>
              <c:f>'Process 2 Data Analysis'!$Z$2</c:f>
              <c:strCache>
                <c:ptCount val="1"/>
                <c:pt idx="0">
                  <c:v>Cumalative Percentage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'Process 2 Data Analysis'!$W$3:$W$9</c:f>
              <c:strCache>
                <c:ptCount val="7"/>
                <c:pt idx="0">
                  <c:v>Red</c:v>
                </c:pt>
                <c:pt idx="1">
                  <c:v>Dark blue</c:v>
                </c:pt>
                <c:pt idx="2">
                  <c:v>White</c:v>
                </c:pt>
                <c:pt idx="3">
                  <c:v>Yellow</c:v>
                </c:pt>
                <c:pt idx="4">
                  <c:v>Orange</c:v>
                </c:pt>
                <c:pt idx="5">
                  <c:v>Light Blue</c:v>
                </c:pt>
                <c:pt idx="6">
                  <c:v>Green</c:v>
                </c:pt>
              </c:strCache>
            </c:strRef>
          </c:cat>
          <c:val>
            <c:numRef>
              <c:f>'Process 2 Data Analysis'!$Z$3:$Z$9</c:f>
              <c:numCache>
                <c:formatCode>0%</c:formatCode>
                <c:ptCount val="7"/>
                <c:pt idx="0">
                  <c:v>0.37142857142857144</c:v>
                </c:pt>
                <c:pt idx="1">
                  <c:v>0.5714285714285714</c:v>
                </c:pt>
                <c:pt idx="2">
                  <c:v>0.77142857142857135</c:v>
                </c:pt>
                <c:pt idx="3">
                  <c:v>0.94285714285714284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2-4D24-B135-C97037FC39FD}"/>
            </c:ext>
          </c:extLst>
        </c:ser>
        <c:ser>
          <c:idx val="2"/>
          <c:order val="2"/>
          <c:tx>
            <c:strRef>
              <c:f>'Process 2 Data Analysis'!$AA$2</c:f>
              <c:strCache>
                <c:ptCount val="1"/>
                <c:pt idx="0">
                  <c:v>Line</c:v>
                </c:pt>
              </c:strCache>
            </c:strRef>
          </c:tx>
          <c:spPr>
            <a:ln w="15875" cap="rnd">
              <a:solidFill>
                <a:schemeClr val="accent2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'Process 2 Data Analysis'!$W$3:$W$9</c:f>
              <c:strCache>
                <c:ptCount val="7"/>
                <c:pt idx="0">
                  <c:v>Red</c:v>
                </c:pt>
                <c:pt idx="1">
                  <c:v>Dark blue</c:v>
                </c:pt>
                <c:pt idx="2">
                  <c:v>White</c:v>
                </c:pt>
                <c:pt idx="3">
                  <c:v>Yellow</c:v>
                </c:pt>
                <c:pt idx="4">
                  <c:v>Orange</c:v>
                </c:pt>
                <c:pt idx="5">
                  <c:v>Light Blue</c:v>
                </c:pt>
                <c:pt idx="6">
                  <c:v>Green</c:v>
                </c:pt>
              </c:strCache>
            </c:strRef>
          </c:cat>
          <c:val>
            <c:numRef>
              <c:f>'Process 2 Data Analysis'!$AA$3:$AA$9</c:f>
              <c:numCache>
                <c:formatCode>0%</c:formatCode>
                <c:ptCount val="7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2-4D24-B135-C97037FC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4191695"/>
        <c:axId val="1504190735"/>
      </c:lineChart>
      <c:catAx>
        <c:axId val="212742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19744"/>
        <c:crosses val="autoZero"/>
        <c:auto val="1"/>
        <c:lblAlgn val="ctr"/>
        <c:lblOffset val="100"/>
        <c:noMultiLvlLbl val="0"/>
      </c:catAx>
      <c:valAx>
        <c:axId val="212741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421184"/>
        <c:crosses val="autoZero"/>
        <c:crossBetween val="between"/>
      </c:valAx>
      <c:valAx>
        <c:axId val="1504190735"/>
        <c:scaling>
          <c:orientation val="minMax"/>
          <c:max val="1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191695"/>
        <c:crosses val="max"/>
        <c:crossBetween val="between"/>
      </c:valAx>
      <c:catAx>
        <c:axId val="1504191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41907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U-Chart: Assembly Process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2 Data Analysis'!$G$48</c:f>
              <c:strCache>
                <c:ptCount val="1"/>
                <c:pt idx="0">
                  <c:v>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'Process 2 Data Analysis'!$G$49:$G$88</c:f>
              <c:numCache>
                <c:formatCode>0.0000</c:formatCode>
                <c:ptCount val="40"/>
                <c:pt idx="0">
                  <c:v>0.5</c:v>
                </c:pt>
                <c:pt idx="1">
                  <c:v>0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0.25</c:v>
                </c:pt>
                <c:pt idx="5">
                  <c:v>0.25</c:v>
                </c:pt>
                <c:pt idx="6">
                  <c:v>1</c:v>
                </c:pt>
                <c:pt idx="7">
                  <c:v>0.5</c:v>
                </c:pt>
                <c:pt idx="8">
                  <c:v>0.33333333333333331</c:v>
                </c:pt>
                <c:pt idx="9">
                  <c:v>1</c:v>
                </c:pt>
                <c:pt idx="10">
                  <c:v>1</c:v>
                </c:pt>
                <c:pt idx="11">
                  <c:v>0.5</c:v>
                </c:pt>
                <c:pt idx="12">
                  <c:v>0.25</c:v>
                </c:pt>
                <c:pt idx="13">
                  <c:v>0.5</c:v>
                </c:pt>
                <c:pt idx="14">
                  <c:v>0.33333333333333331</c:v>
                </c:pt>
                <c:pt idx="15">
                  <c:v>1</c:v>
                </c:pt>
                <c:pt idx="16">
                  <c:v>1</c:v>
                </c:pt>
                <c:pt idx="17">
                  <c:v>0.25</c:v>
                </c:pt>
                <c:pt idx="18">
                  <c:v>0.5</c:v>
                </c:pt>
                <c:pt idx="19">
                  <c:v>1</c:v>
                </c:pt>
                <c:pt idx="20">
                  <c:v>0.5</c:v>
                </c:pt>
                <c:pt idx="21">
                  <c:v>0.33333333333333331</c:v>
                </c:pt>
                <c:pt idx="22">
                  <c:v>0.33333333333333331</c:v>
                </c:pt>
                <c:pt idx="23">
                  <c:v>0.25</c:v>
                </c:pt>
                <c:pt idx="24">
                  <c:v>0.33333333333333331</c:v>
                </c:pt>
                <c:pt idx="25">
                  <c:v>0.33333333333333331</c:v>
                </c:pt>
                <c:pt idx="26">
                  <c:v>0</c:v>
                </c:pt>
                <c:pt idx="27">
                  <c:v>0.16666666666666666</c:v>
                </c:pt>
                <c:pt idx="28">
                  <c:v>0.33333333333333331</c:v>
                </c:pt>
                <c:pt idx="29">
                  <c:v>0.16666666666666666</c:v>
                </c:pt>
                <c:pt idx="30">
                  <c:v>0.33333333333333331</c:v>
                </c:pt>
                <c:pt idx="31">
                  <c:v>0.33333333333333331</c:v>
                </c:pt>
                <c:pt idx="32">
                  <c:v>0.25</c:v>
                </c:pt>
                <c:pt idx="33">
                  <c:v>0.33333333333333331</c:v>
                </c:pt>
                <c:pt idx="34">
                  <c:v>0.33333333333333331</c:v>
                </c:pt>
                <c:pt idx="35">
                  <c:v>0.33333333333333331</c:v>
                </c:pt>
                <c:pt idx="36">
                  <c:v>0.33333333333333331</c:v>
                </c:pt>
                <c:pt idx="37">
                  <c:v>0.33333333333333331</c:v>
                </c:pt>
                <c:pt idx="38">
                  <c:v>0.14285714285714285</c:v>
                </c:pt>
                <c:pt idx="39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E4-43F7-B356-4617BC265689}"/>
            </c:ext>
          </c:extLst>
        </c:ser>
        <c:ser>
          <c:idx val="1"/>
          <c:order val="1"/>
          <c:tx>
            <c:strRef>
              <c:f>'Process 2 Data Analysis'!$H$48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Analysis'!$H$49:$H$88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E4-43F7-B356-4617BC265689}"/>
            </c:ext>
          </c:extLst>
        </c:ser>
        <c:ser>
          <c:idx val="2"/>
          <c:order val="2"/>
          <c:tx>
            <c:strRef>
              <c:f>'Process 2 Data Analysis'!$I$48</c:f>
              <c:strCache>
                <c:ptCount val="1"/>
                <c:pt idx="0">
                  <c:v> ̅u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Analysis'!$I$49:$I$88</c:f>
              <c:numCache>
                <c:formatCode>General</c:formatCode>
                <c:ptCount val="40"/>
                <c:pt idx="0">
                  <c:v>0.30158730158730157</c:v>
                </c:pt>
                <c:pt idx="1">
                  <c:v>0.30158730158730157</c:v>
                </c:pt>
                <c:pt idx="2">
                  <c:v>0.30158730158730157</c:v>
                </c:pt>
                <c:pt idx="3">
                  <c:v>0.30158730158730157</c:v>
                </c:pt>
                <c:pt idx="4">
                  <c:v>0.30158730158730157</c:v>
                </c:pt>
                <c:pt idx="5">
                  <c:v>0.30158730158730157</c:v>
                </c:pt>
                <c:pt idx="6">
                  <c:v>0.30158730158730157</c:v>
                </c:pt>
                <c:pt idx="7">
                  <c:v>0.30158730158730157</c:v>
                </c:pt>
                <c:pt idx="8">
                  <c:v>0.30158730158730157</c:v>
                </c:pt>
                <c:pt idx="9">
                  <c:v>0.30158730158730157</c:v>
                </c:pt>
                <c:pt idx="10">
                  <c:v>0.30158730158730157</c:v>
                </c:pt>
                <c:pt idx="11">
                  <c:v>0.30158730158730157</c:v>
                </c:pt>
                <c:pt idx="12">
                  <c:v>0.30158730158730157</c:v>
                </c:pt>
                <c:pt idx="13">
                  <c:v>0.30158730158730157</c:v>
                </c:pt>
                <c:pt idx="14">
                  <c:v>0.30158730158730157</c:v>
                </c:pt>
                <c:pt idx="15">
                  <c:v>0.30158730158730157</c:v>
                </c:pt>
                <c:pt idx="16">
                  <c:v>0.30158730158730157</c:v>
                </c:pt>
                <c:pt idx="17">
                  <c:v>0.30158730158730157</c:v>
                </c:pt>
                <c:pt idx="18">
                  <c:v>0.30158730158730157</c:v>
                </c:pt>
                <c:pt idx="19">
                  <c:v>0.30158730158730157</c:v>
                </c:pt>
                <c:pt idx="20">
                  <c:v>0.30158730158730157</c:v>
                </c:pt>
                <c:pt idx="21">
                  <c:v>0.30158730158730157</c:v>
                </c:pt>
                <c:pt idx="22">
                  <c:v>0.30158730158730157</c:v>
                </c:pt>
                <c:pt idx="23">
                  <c:v>0.30158730158730157</c:v>
                </c:pt>
                <c:pt idx="24">
                  <c:v>0.30158730158730157</c:v>
                </c:pt>
                <c:pt idx="25">
                  <c:v>0.30158730158730157</c:v>
                </c:pt>
                <c:pt idx="26">
                  <c:v>0.30158730158730157</c:v>
                </c:pt>
                <c:pt idx="27">
                  <c:v>0.30158730158730157</c:v>
                </c:pt>
                <c:pt idx="28">
                  <c:v>0.30158730158730157</c:v>
                </c:pt>
                <c:pt idx="29">
                  <c:v>0.30158730158730157</c:v>
                </c:pt>
                <c:pt idx="30">
                  <c:v>0.30158730158730157</c:v>
                </c:pt>
                <c:pt idx="31">
                  <c:v>0.30158730158730157</c:v>
                </c:pt>
                <c:pt idx="32">
                  <c:v>0.30158730158730157</c:v>
                </c:pt>
                <c:pt idx="33">
                  <c:v>0.30158730158730157</c:v>
                </c:pt>
                <c:pt idx="34">
                  <c:v>0.30158730158730157</c:v>
                </c:pt>
                <c:pt idx="35">
                  <c:v>0.30158730158730157</c:v>
                </c:pt>
                <c:pt idx="36">
                  <c:v>0.30158730158730157</c:v>
                </c:pt>
                <c:pt idx="37">
                  <c:v>0.30158730158730157</c:v>
                </c:pt>
                <c:pt idx="38">
                  <c:v>0.30158730158730157</c:v>
                </c:pt>
                <c:pt idx="39">
                  <c:v>0.30158730158730157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E4-43F7-B356-4617BC265689}"/>
            </c:ext>
          </c:extLst>
        </c:ser>
        <c:ser>
          <c:idx val="3"/>
          <c:order val="3"/>
          <c:tx>
            <c:strRef>
              <c:f>'Process 2 Data Analysis'!$J$48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Analysis'!$J$49:$J$88</c:f>
              <c:numCache>
                <c:formatCode>General</c:formatCode>
                <c:ptCount val="40"/>
                <c:pt idx="0">
                  <c:v>1.0782304649349248</c:v>
                </c:pt>
                <c:pt idx="1">
                  <c:v>0.71672053430546101</c:v>
                </c:pt>
                <c:pt idx="2">
                  <c:v>0.93571378906152947</c:v>
                </c:pt>
                <c:pt idx="3">
                  <c:v>0.93571378906152947</c:v>
                </c:pt>
                <c:pt idx="4">
                  <c:v>0.85075694895257747</c:v>
                </c:pt>
                <c:pt idx="5">
                  <c:v>0.85075694895257747</c:v>
                </c:pt>
                <c:pt idx="6">
                  <c:v>1.3999265963178535</c:v>
                </c:pt>
                <c:pt idx="7">
                  <c:v>1.0782304649349248</c:v>
                </c:pt>
                <c:pt idx="8">
                  <c:v>0.93571378906152947</c:v>
                </c:pt>
                <c:pt idx="9">
                  <c:v>1.3999265963178535</c:v>
                </c:pt>
                <c:pt idx="10">
                  <c:v>1.3999265963178535</c:v>
                </c:pt>
                <c:pt idx="11">
                  <c:v>1.0782304649349248</c:v>
                </c:pt>
                <c:pt idx="12">
                  <c:v>0.85075694895257747</c:v>
                </c:pt>
                <c:pt idx="13">
                  <c:v>1.0782304649349248</c:v>
                </c:pt>
                <c:pt idx="14">
                  <c:v>0.93571378906152947</c:v>
                </c:pt>
                <c:pt idx="15">
                  <c:v>1.3999265963178535</c:v>
                </c:pt>
                <c:pt idx="16">
                  <c:v>1.3999265963178535</c:v>
                </c:pt>
                <c:pt idx="17">
                  <c:v>0.85075694895257747</c:v>
                </c:pt>
                <c:pt idx="18">
                  <c:v>1.0782304649349248</c:v>
                </c:pt>
                <c:pt idx="19">
                  <c:v>1.3999265963178535</c:v>
                </c:pt>
                <c:pt idx="20">
                  <c:v>1.0782304649349248</c:v>
                </c:pt>
                <c:pt idx="21">
                  <c:v>0.93571378906152947</c:v>
                </c:pt>
                <c:pt idx="22">
                  <c:v>0.93571378906152947</c:v>
                </c:pt>
                <c:pt idx="23">
                  <c:v>0.85075694895257747</c:v>
                </c:pt>
                <c:pt idx="24">
                  <c:v>0.93571378906152947</c:v>
                </c:pt>
                <c:pt idx="25">
                  <c:v>0.93571378906152947</c:v>
                </c:pt>
                <c:pt idx="26">
                  <c:v>0.71672053430546101</c:v>
                </c:pt>
                <c:pt idx="27">
                  <c:v>0.7499824410103344</c:v>
                </c:pt>
                <c:pt idx="28">
                  <c:v>0.93571378906152947</c:v>
                </c:pt>
                <c:pt idx="29">
                  <c:v>0.7499824410103344</c:v>
                </c:pt>
                <c:pt idx="30">
                  <c:v>0.93571378906152947</c:v>
                </c:pt>
                <c:pt idx="31">
                  <c:v>0.93571378906152947</c:v>
                </c:pt>
                <c:pt idx="32">
                  <c:v>0.85075694895257747</c:v>
                </c:pt>
                <c:pt idx="33">
                  <c:v>0.93571378906152947</c:v>
                </c:pt>
                <c:pt idx="34">
                  <c:v>0.93571378906152947</c:v>
                </c:pt>
                <c:pt idx="35">
                  <c:v>0.93571378906152947</c:v>
                </c:pt>
                <c:pt idx="36">
                  <c:v>0.93571378906152947</c:v>
                </c:pt>
                <c:pt idx="37">
                  <c:v>0.93571378906152947</c:v>
                </c:pt>
                <c:pt idx="38">
                  <c:v>0.71672053430546101</c:v>
                </c:pt>
                <c:pt idx="39">
                  <c:v>0.93571378906152947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E4-43F7-B356-4617BC265689}"/>
            </c:ext>
          </c:extLst>
        </c:ser>
        <c:ser>
          <c:idx val="4"/>
          <c:order val="4"/>
          <c:tx>
            <c:strRef>
              <c:f>'Process 2 Data Analysis'!$K$48</c:f>
              <c:strCache>
                <c:ptCount val="1"/>
                <c:pt idx="0">
                  <c:v>1,33σ (upper)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Analysis'!$K$49:$K$88</c:f>
              <c:numCache>
                <c:formatCode>General</c:formatCode>
                <c:ptCount val="40"/>
                <c:pt idx="0">
                  <c:v>0.81805500521347119</c:v>
                </c:pt>
                <c:pt idx="1">
                  <c:v>0.57765090134487762</c:v>
                </c:pt>
                <c:pt idx="2">
                  <c:v>0.72328141575766303</c:v>
                </c:pt>
                <c:pt idx="3">
                  <c:v>0.72328141575766303</c:v>
                </c:pt>
                <c:pt idx="4">
                  <c:v>0.66678511708521015</c:v>
                </c:pt>
                <c:pt idx="5">
                  <c:v>0.66678511708521015</c:v>
                </c:pt>
                <c:pt idx="6">
                  <c:v>1.0319829325831187</c:v>
                </c:pt>
                <c:pt idx="7">
                  <c:v>0.81805500521347119</c:v>
                </c:pt>
                <c:pt idx="8">
                  <c:v>0.72328141575766303</c:v>
                </c:pt>
                <c:pt idx="9">
                  <c:v>1.0319829325831187</c:v>
                </c:pt>
                <c:pt idx="10">
                  <c:v>1.0319829325831187</c:v>
                </c:pt>
                <c:pt idx="11">
                  <c:v>0.81805500521347119</c:v>
                </c:pt>
                <c:pt idx="12">
                  <c:v>0.66678511708521015</c:v>
                </c:pt>
                <c:pt idx="13">
                  <c:v>0.81805500521347119</c:v>
                </c:pt>
                <c:pt idx="14">
                  <c:v>0.72328141575766303</c:v>
                </c:pt>
                <c:pt idx="15">
                  <c:v>1.0319829325831187</c:v>
                </c:pt>
                <c:pt idx="16">
                  <c:v>1.0319829325831187</c:v>
                </c:pt>
                <c:pt idx="17">
                  <c:v>0.66678511708521015</c:v>
                </c:pt>
                <c:pt idx="18">
                  <c:v>0.81805500521347119</c:v>
                </c:pt>
                <c:pt idx="19">
                  <c:v>1.0319829325831187</c:v>
                </c:pt>
                <c:pt idx="20">
                  <c:v>0.81805500521347119</c:v>
                </c:pt>
                <c:pt idx="21">
                  <c:v>0.72328141575766303</c:v>
                </c:pt>
                <c:pt idx="22">
                  <c:v>0.72328141575766303</c:v>
                </c:pt>
                <c:pt idx="23">
                  <c:v>0.66678511708521015</c:v>
                </c:pt>
                <c:pt idx="24">
                  <c:v>0.72328141575766303</c:v>
                </c:pt>
                <c:pt idx="25">
                  <c:v>0.72328141575766303</c:v>
                </c:pt>
                <c:pt idx="26">
                  <c:v>0.57765090134487762</c:v>
                </c:pt>
                <c:pt idx="27">
                  <c:v>0.59977006930361842</c:v>
                </c:pt>
                <c:pt idx="28">
                  <c:v>0.72328141575766303</c:v>
                </c:pt>
                <c:pt idx="29">
                  <c:v>0.59977006930361842</c:v>
                </c:pt>
                <c:pt idx="30">
                  <c:v>0.72328141575766303</c:v>
                </c:pt>
                <c:pt idx="31">
                  <c:v>0.72328141575766303</c:v>
                </c:pt>
                <c:pt idx="32">
                  <c:v>0.66678511708521015</c:v>
                </c:pt>
                <c:pt idx="33">
                  <c:v>0.72328141575766303</c:v>
                </c:pt>
                <c:pt idx="34">
                  <c:v>0.72328141575766303</c:v>
                </c:pt>
                <c:pt idx="35">
                  <c:v>0.72328141575766303</c:v>
                </c:pt>
                <c:pt idx="36">
                  <c:v>0.72328141575766303</c:v>
                </c:pt>
                <c:pt idx="37">
                  <c:v>0.72328141575766303</c:v>
                </c:pt>
                <c:pt idx="38">
                  <c:v>0.57765090134487762</c:v>
                </c:pt>
                <c:pt idx="39">
                  <c:v>0.72328141575766303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E4-43F7-B356-4617BC265689}"/>
            </c:ext>
          </c:extLst>
        </c:ser>
        <c:ser>
          <c:idx val="5"/>
          <c:order val="5"/>
          <c:tx>
            <c:strRef>
              <c:f>'Process 2 Data Analysis'!$L$48</c:f>
              <c:strCache>
                <c:ptCount val="1"/>
                <c:pt idx="0">
                  <c:v>1,33σ (lower)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Analysis'!$L$49:$L$88</c:f>
              <c:numCache>
                <c:formatCode>General</c:formatCode>
                <c:ptCount val="40"/>
                <c:pt idx="0">
                  <c:v>0</c:v>
                </c:pt>
                <c:pt idx="1">
                  <c:v>2.5523701829725576E-2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2.5523701829725576E-2</c:v>
                </c:pt>
                <c:pt idx="27">
                  <c:v>3.4045338709847162E-3</c:v>
                </c:pt>
                <c:pt idx="28">
                  <c:v>0</c:v>
                </c:pt>
                <c:pt idx="29">
                  <c:v>3.4045338709847162E-3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2.5523701829725576E-2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E4-43F7-B356-4617BC265689}"/>
            </c:ext>
          </c:extLst>
        </c:ser>
        <c:ser>
          <c:idx val="6"/>
          <c:order val="6"/>
          <c:tx>
            <c:strRef>
              <c:f>'Process 2 Data Analysis'!$M$48</c:f>
              <c:strCache>
                <c:ptCount val="1"/>
                <c:pt idx="0">
                  <c:v>0,67σ (upper)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Analysis'!$M$49:$M$88</c:f>
              <c:numCache>
                <c:formatCode>General</c:formatCode>
                <c:ptCount val="40"/>
                <c:pt idx="0">
                  <c:v>0.56176276130875546</c:v>
                </c:pt>
                <c:pt idx="1">
                  <c:v>0.44065693454788496</c:v>
                </c:pt>
                <c:pt idx="2">
                  <c:v>0.51401967489116784</c:v>
                </c:pt>
                <c:pt idx="3">
                  <c:v>0.51401967489116784</c:v>
                </c:pt>
                <c:pt idx="4">
                  <c:v>0.48555913345466906</c:v>
                </c:pt>
                <c:pt idx="5">
                  <c:v>0.48555913345466906</c:v>
                </c:pt>
                <c:pt idx="6">
                  <c:v>0.66953096532203649</c:v>
                </c:pt>
                <c:pt idx="7">
                  <c:v>0.56176276130875546</c:v>
                </c:pt>
                <c:pt idx="8">
                  <c:v>0.51401967489116784</c:v>
                </c:pt>
                <c:pt idx="9">
                  <c:v>0.66953096532203649</c:v>
                </c:pt>
                <c:pt idx="10">
                  <c:v>0.66953096532203649</c:v>
                </c:pt>
                <c:pt idx="11">
                  <c:v>0.56176276130875546</c:v>
                </c:pt>
                <c:pt idx="12">
                  <c:v>0.48555913345466906</c:v>
                </c:pt>
                <c:pt idx="13">
                  <c:v>0.56176276130875546</c:v>
                </c:pt>
                <c:pt idx="14">
                  <c:v>0.51401967489116784</c:v>
                </c:pt>
                <c:pt idx="15">
                  <c:v>0.66953096532203649</c:v>
                </c:pt>
                <c:pt idx="16">
                  <c:v>0.66953096532203649</c:v>
                </c:pt>
                <c:pt idx="17">
                  <c:v>0.48555913345466906</c:v>
                </c:pt>
                <c:pt idx="18">
                  <c:v>0.56176276130875546</c:v>
                </c:pt>
                <c:pt idx="19">
                  <c:v>0.66953096532203649</c:v>
                </c:pt>
                <c:pt idx="20">
                  <c:v>0.56176276130875546</c:v>
                </c:pt>
                <c:pt idx="21">
                  <c:v>0.51401967489116784</c:v>
                </c:pt>
                <c:pt idx="22">
                  <c:v>0.51401967489116784</c:v>
                </c:pt>
                <c:pt idx="23">
                  <c:v>0.48555913345466906</c:v>
                </c:pt>
                <c:pt idx="24">
                  <c:v>0.51401967489116784</c:v>
                </c:pt>
                <c:pt idx="25">
                  <c:v>0.51401967489116784</c:v>
                </c:pt>
                <c:pt idx="26">
                  <c:v>0.44065693454788496</c:v>
                </c:pt>
                <c:pt idx="27">
                  <c:v>0.4517996732940176</c:v>
                </c:pt>
                <c:pt idx="28">
                  <c:v>0.51401967489116784</c:v>
                </c:pt>
                <c:pt idx="29">
                  <c:v>0.4517996732940176</c:v>
                </c:pt>
                <c:pt idx="30">
                  <c:v>0.51401967489116784</c:v>
                </c:pt>
                <c:pt idx="31">
                  <c:v>0.51401967489116784</c:v>
                </c:pt>
                <c:pt idx="32">
                  <c:v>0.48555913345466906</c:v>
                </c:pt>
                <c:pt idx="33">
                  <c:v>0.51401967489116784</c:v>
                </c:pt>
                <c:pt idx="34">
                  <c:v>0.51401967489116784</c:v>
                </c:pt>
                <c:pt idx="35">
                  <c:v>0.51401967489116784</c:v>
                </c:pt>
                <c:pt idx="36">
                  <c:v>0.51401967489116784</c:v>
                </c:pt>
                <c:pt idx="37">
                  <c:v>0.51401967489116784</c:v>
                </c:pt>
                <c:pt idx="38">
                  <c:v>0.44065693454788496</c:v>
                </c:pt>
                <c:pt idx="39">
                  <c:v>0.51401967489116784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1E4-43F7-B356-4617BC265689}"/>
            </c:ext>
          </c:extLst>
        </c:ser>
        <c:ser>
          <c:idx val="7"/>
          <c:order val="7"/>
          <c:tx>
            <c:strRef>
              <c:f>'Process 2 Data Analysis'!$N$48</c:f>
              <c:strCache>
                <c:ptCount val="1"/>
                <c:pt idx="0">
                  <c:v>0,67σ (lower)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Analysis'!$N$49:$N$88</c:f>
              <c:numCache>
                <c:formatCode>General</c:formatCode>
                <c:ptCount val="40"/>
                <c:pt idx="0">
                  <c:v>4.1411841865847732E-2</c:v>
                </c:pt>
                <c:pt idx="1">
                  <c:v>0.16251766862671818</c:v>
                </c:pt>
                <c:pt idx="2">
                  <c:v>8.9154928283435242E-2</c:v>
                </c:pt>
                <c:pt idx="3">
                  <c:v>8.9154928283435242E-2</c:v>
                </c:pt>
                <c:pt idx="4">
                  <c:v>0.11761546971993411</c:v>
                </c:pt>
                <c:pt idx="5">
                  <c:v>0.11761546971993411</c:v>
                </c:pt>
                <c:pt idx="6">
                  <c:v>0</c:v>
                </c:pt>
                <c:pt idx="7">
                  <c:v>4.1411841865847732E-2</c:v>
                </c:pt>
                <c:pt idx="8">
                  <c:v>8.9154928283435242E-2</c:v>
                </c:pt>
                <c:pt idx="9">
                  <c:v>0</c:v>
                </c:pt>
                <c:pt idx="10">
                  <c:v>0</c:v>
                </c:pt>
                <c:pt idx="11">
                  <c:v>4.1411841865847732E-2</c:v>
                </c:pt>
                <c:pt idx="12">
                  <c:v>0.11761546971993411</c:v>
                </c:pt>
                <c:pt idx="13">
                  <c:v>4.1411841865847732E-2</c:v>
                </c:pt>
                <c:pt idx="14">
                  <c:v>8.9154928283435242E-2</c:v>
                </c:pt>
                <c:pt idx="15">
                  <c:v>0</c:v>
                </c:pt>
                <c:pt idx="16">
                  <c:v>0</c:v>
                </c:pt>
                <c:pt idx="17">
                  <c:v>0.11761546971993411</c:v>
                </c:pt>
                <c:pt idx="18">
                  <c:v>4.1411841865847732E-2</c:v>
                </c:pt>
                <c:pt idx="19">
                  <c:v>0</c:v>
                </c:pt>
                <c:pt idx="20">
                  <c:v>4.1411841865847732E-2</c:v>
                </c:pt>
                <c:pt idx="21">
                  <c:v>8.9154928283435242E-2</c:v>
                </c:pt>
                <c:pt idx="22">
                  <c:v>8.9154928283435242E-2</c:v>
                </c:pt>
                <c:pt idx="23">
                  <c:v>0.11761546971993411</c:v>
                </c:pt>
                <c:pt idx="24">
                  <c:v>8.9154928283435242E-2</c:v>
                </c:pt>
                <c:pt idx="25">
                  <c:v>8.9154928283435242E-2</c:v>
                </c:pt>
                <c:pt idx="26">
                  <c:v>0.16251766862671818</c:v>
                </c:pt>
                <c:pt idx="27">
                  <c:v>0.15137492988058557</c:v>
                </c:pt>
                <c:pt idx="28">
                  <c:v>8.9154928283435242E-2</c:v>
                </c:pt>
                <c:pt idx="29">
                  <c:v>0.15137492988058557</c:v>
                </c:pt>
                <c:pt idx="30">
                  <c:v>8.9154928283435242E-2</c:v>
                </c:pt>
                <c:pt idx="31">
                  <c:v>8.9154928283435242E-2</c:v>
                </c:pt>
                <c:pt idx="32">
                  <c:v>0.11761546971993411</c:v>
                </c:pt>
                <c:pt idx="33">
                  <c:v>8.9154928283435242E-2</c:v>
                </c:pt>
                <c:pt idx="34">
                  <c:v>8.9154928283435242E-2</c:v>
                </c:pt>
                <c:pt idx="35">
                  <c:v>8.9154928283435242E-2</c:v>
                </c:pt>
                <c:pt idx="36">
                  <c:v>8.9154928283435242E-2</c:v>
                </c:pt>
                <c:pt idx="37">
                  <c:v>8.9154928283435242E-2</c:v>
                </c:pt>
                <c:pt idx="38">
                  <c:v>0.16251766862671818</c:v>
                </c:pt>
                <c:pt idx="39">
                  <c:v>8.9154928283435242E-2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1E4-43F7-B356-4617BC26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957167"/>
        <c:axId val="1191958127"/>
      </c:lineChart>
      <c:catAx>
        <c:axId val="1191957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</a:t>
                </a:r>
                <a:r>
                  <a:rPr lang="en-ZA" baseline="0"/>
                  <a:t> Number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58127"/>
        <c:crosses val="autoZero"/>
        <c:auto val="1"/>
        <c:lblAlgn val="ctr"/>
        <c:lblOffset val="100"/>
        <c:noMultiLvlLbl val="0"/>
      </c:catAx>
      <c:valAx>
        <c:axId val="11919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/>
                  <a:t>Defects per unit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5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G-Chart: Defect Identification Process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'Process 2 Data Analysis'!$G$2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'Process 2 Data Analysis'!$G$3:$G$42</c:f>
              <c:numCache>
                <c:formatCode>0</c:formatCode>
                <c:ptCount val="4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7</c:v>
                </c:pt>
                <c:pt idx="27">
                  <c:v>5</c:v>
                </c:pt>
                <c:pt idx="28">
                  <c:v>2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6</c:v>
                </c:pt>
                <c:pt idx="3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54-4FA5-9419-897A3AD51BDB}"/>
            </c:ext>
          </c:extLst>
        </c:ser>
        <c:ser>
          <c:idx val="1"/>
          <c:order val="1"/>
          <c:tx>
            <c:strRef>
              <c:f>'Process 2 Data Analysis'!$H$2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Analysis'!$H$3:$H$42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54-4FA5-9419-897A3AD51BDB}"/>
            </c:ext>
          </c:extLst>
        </c:ser>
        <c:ser>
          <c:idx val="2"/>
          <c:order val="2"/>
          <c:tx>
            <c:strRef>
              <c:f>'Process 2 Data Analysis'!$I$2</c:f>
              <c:strCache>
                <c:ptCount val="1"/>
                <c:pt idx="0">
                  <c:v> ̅g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Analysis'!$I$3:$I$42</c:f>
              <c:numCache>
                <c:formatCode>0.0000</c:formatCode>
                <c:ptCount val="40"/>
                <c:pt idx="0">
                  <c:v>2.2000000000000002</c:v>
                </c:pt>
                <c:pt idx="1">
                  <c:v>2.2000000000000002</c:v>
                </c:pt>
                <c:pt idx="2">
                  <c:v>2.2000000000000002</c:v>
                </c:pt>
                <c:pt idx="3">
                  <c:v>2.2000000000000002</c:v>
                </c:pt>
                <c:pt idx="4">
                  <c:v>2.2000000000000002</c:v>
                </c:pt>
                <c:pt idx="5">
                  <c:v>2.2000000000000002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2.2000000000000002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2.2000000000000002</c:v>
                </c:pt>
                <c:pt idx="16">
                  <c:v>2.2000000000000002</c:v>
                </c:pt>
                <c:pt idx="17">
                  <c:v>2.2000000000000002</c:v>
                </c:pt>
                <c:pt idx="18">
                  <c:v>2.2000000000000002</c:v>
                </c:pt>
                <c:pt idx="19">
                  <c:v>2.2000000000000002</c:v>
                </c:pt>
                <c:pt idx="20">
                  <c:v>2.2000000000000002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2.2000000000000002</c:v>
                </c:pt>
                <c:pt idx="24">
                  <c:v>2.2000000000000002</c:v>
                </c:pt>
                <c:pt idx="25">
                  <c:v>2.2000000000000002</c:v>
                </c:pt>
                <c:pt idx="26">
                  <c:v>2.2000000000000002</c:v>
                </c:pt>
                <c:pt idx="27">
                  <c:v>2.2000000000000002</c:v>
                </c:pt>
                <c:pt idx="28">
                  <c:v>2.2000000000000002</c:v>
                </c:pt>
                <c:pt idx="29">
                  <c:v>2.2000000000000002</c:v>
                </c:pt>
                <c:pt idx="30">
                  <c:v>2.2000000000000002</c:v>
                </c:pt>
                <c:pt idx="31">
                  <c:v>2.2000000000000002</c:v>
                </c:pt>
                <c:pt idx="32">
                  <c:v>2.2000000000000002</c:v>
                </c:pt>
                <c:pt idx="33">
                  <c:v>2.2000000000000002</c:v>
                </c:pt>
                <c:pt idx="34">
                  <c:v>2.2000000000000002</c:v>
                </c:pt>
                <c:pt idx="35">
                  <c:v>2.2000000000000002</c:v>
                </c:pt>
                <c:pt idx="36">
                  <c:v>2.2000000000000002</c:v>
                </c:pt>
                <c:pt idx="37">
                  <c:v>2.2000000000000002</c:v>
                </c:pt>
                <c:pt idx="38">
                  <c:v>2.2000000000000002</c:v>
                </c:pt>
                <c:pt idx="39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54-4FA5-9419-897A3AD51BDB}"/>
            </c:ext>
          </c:extLst>
        </c:ser>
        <c:ser>
          <c:idx val="3"/>
          <c:order val="3"/>
          <c:tx>
            <c:strRef>
              <c:f>'Process 2 Data Analysis'!$J$2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'Process 2 Data Analysis'!$J$3:$J$42</c:f>
              <c:numCache>
                <c:formatCode>General</c:formatCode>
                <c:ptCount val="40"/>
                <c:pt idx="0">
                  <c:v>5.4496153618543843</c:v>
                </c:pt>
                <c:pt idx="1">
                  <c:v>5.4496153618543843</c:v>
                </c:pt>
                <c:pt idx="2">
                  <c:v>5.4496153618543843</c:v>
                </c:pt>
                <c:pt idx="3">
                  <c:v>5.4496153618543843</c:v>
                </c:pt>
                <c:pt idx="4">
                  <c:v>5.4496153618543843</c:v>
                </c:pt>
                <c:pt idx="5">
                  <c:v>5.4496153618543843</c:v>
                </c:pt>
                <c:pt idx="6">
                  <c:v>5.4496153618543843</c:v>
                </c:pt>
                <c:pt idx="7">
                  <c:v>5.4496153618543843</c:v>
                </c:pt>
                <c:pt idx="8">
                  <c:v>5.4496153618543843</c:v>
                </c:pt>
                <c:pt idx="9">
                  <c:v>5.4496153618543843</c:v>
                </c:pt>
                <c:pt idx="10">
                  <c:v>5.4496153618543843</c:v>
                </c:pt>
                <c:pt idx="11">
                  <c:v>5.4496153618543843</c:v>
                </c:pt>
                <c:pt idx="12">
                  <c:v>5.4496153618543843</c:v>
                </c:pt>
                <c:pt idx="13">
                  <c:v>5.4496153618543843</c:v>
                </c:pt>
                <c:pt idx="14">
                  <c:v>5.4496153618543843</c:v>
                </c:pt>
                <c:pt idx="15">
                  <c:v>5.4496153618543843</c:v>
                </c:pt>
                <c:pt idx="16">
                  <c:v>5.4496153618543843</c:v>
                </c:pt>
                <c:pt idx="17">
                  <c:v>5.4496153618543843</c:v>
                </c:pt>
                <c:pt idx="18">
                  <c:v>5.4496153618543843</c:v>
                </c:pt>
                <c:pt idx="19">
                  <c:v>5.4496153618543843</c:v>
                </c:pt>
                <c:pt idx="20">
                  <c:v>5.4496153618543843</c:v>
                </c:pt>
                <c:pt idx="21">
                  <c:v>5.4496153618543843</c:v>
                </c:pt>
                <c:pt idx="22">
                  <c:v>5.4496153618543843</c:v>
                </c:pt>
                <c:pt idx="23">
                  <c:v>5.4496153618543843</c:v>
                </c:pt>
                <c:pt idx="24">
                  <c:v>5.4496153618543843</c:v>
                </c:pt>
                <c:pt idx="25">
                  <c:v>5.4496153618543843</c:v>
                </c:pt>
                <c:pt idx="26">
                  <c:v>5.4496153618543843</c:v>
                </c:pt>
                <c:pt idx="27">
                  <c:v>5.4496153618543843</c:v>
                </c:pt>
                <c:pt idx="28">
                  <c:v>5.4496153618543843</c:v>
                </c:pt>
                <c:pt idx="29">
                  <c:v>5.4496153618543843</c:v>
                </c:pt>
                <c:pt idx="30">
                  <c:v>5.4496153618543843</c:v>
                </c:pt>
                <c:pt idx="31">
                  <c:v>5.4496153618543843</c:v>
                </c:pt>
                <c:pt idx="32">
                  <c:v>5.4496153618543843</c:v>
                </c:pt>
                <c:pt idx="33">
                  <c:v>5.4496153618543843</c:v>
                </c:pt>
                <c:pt idx="34">
                  <c:v>5.4496153618543843</c:v>
                </c:pt>
                <c:pt idx="35">
                  <c:v>5.4496153618543843</c:v>
                </c:pt>
                <c:pt idx="36">
                  <c:v>5.4496153618543843</c:v>
                </c:pt>
                <c:pt idx="37">
                  <c:v>5.4496153618543843</c:v>
                </c:pt>
                <c:pt idx="38">
                  <c:v>5.4496153618543843</c:v>
                </c:pt>
                <c:pt idx="39">
                  <c:v>5.4496153618543843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54-4FA5-9419-897A3AD51BDB}"/>
            </c:ext>
          </c:extLst>
        </c:ser>
        <c:ser>
          <c:idx val="4"/>
          <c:order val="4"/>
          <c:tx>
            <c:strRef>
              <c:f>'Process 2 Data Analysis'!$K$2</c:f>
              <c:strCache>
                <c:ptCount val="1"/>
                <c:pt idx="0">
                  <c:v>1,33σ (upper)</c:v>
                </c:pt>
              </c:strCache>
            </c:strRef>
          </c:tx>
          <c:spPr>
            <a:ln w="158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Analysis'!$K$3:$K$42</c:f>
              <c:numCache>
                <c:formatCode>General</c:formatCode>
                <c:ptCount val="40"/>
                <c:pt idx="0">
                  <c:v>4.3609942156331662</c:v>
                </c:pt>
                <c:pt idx="1">
                  <c:v>4.3609942156331662</c:v>
                </c:pt>
                <c:pt idx="2">
                  <c:v>4.3609942156331662</c:v>
                </c:pt>
                <c:pt idx="3">
                  <c:v>4.3609942156331662</c:v>
                </c:pt>
                <c:pt idx="4">
                  <c:v>4.3609942156331662</c:v>
                </c:pt>
                <c:pt idx="5">
                  <c:v>4.3609942156331662</c:v>
                </c:pt>
                <c:pt idx="6">
                  <c:v>4.3609942156331662</c:v>
                </c:pt>
                <c:pt idx="7">
                  <c:v>4.3609942156331662</c:v>
                </c:pt>
                <c:pt idx="8">
                  <c:v>4.3609942156331662</c:v>
                </c:pt>
                <c:pt idx="9">
                  <c:v>4.3609942156331662</c:v>
                </c:pt>
                <c:pt idx="10">
                  <c:v>4.3609942156331662</c:v>
                </c:pt>
                <c:pt idx="11">
                  <c:v>4.3609942156331662</c:v>
                </c:pt>
                <c:pt idx="12">
                  <c:v>4.3609942156331662</c:v>
                </c:pt>
                <c:pt idx="13">
                  <c:v>4.3609942156331662</c:v>
                </c:pt>
                <c:pt idx="14">
                  <c:v>4.3609942156331662</c:v>
                </c:pt>
                <c:pt idx="15">
                  <c:v>4.3609942156331662</c:v>
                </c:pt>
                <c:pt idx="16">
                  <c:v>4.3609942156331662</c:v>
                </c:pt>
                <c:pt idx="17">
                  <c:v>4.3609942156331662</c:v>
                </c:pt>
                <c:pt idx="18">
                  <c:v>4.3609942156331662</c:v>
                </c:pt>
                <c:pt idx="19">
                  <c:v>4.3609942156331662</c:v>
                </c:pt>
                <c:pt idx="20">
                  <c:v>4.3609942156331662</c:v>
                </c:pt>
                <c:pt idx="21">
                  <c:v>4.3609942156331662</c:v>
                </c:pt>
                <c:pt idx="22">
                  <c:v>4.3609942156331662</c:v>
                </c:pt>
                <c:pt idx="23">
                  <c:v>4.3609942156331662</c:v>
                </c:pt>
                <c:pt idx="24">
                  <c:v>4.3609942156331662</c:v>
                </c:pt>
                <c:pt idx="25">
                  <c:v>4.3609942156331662</c:v>
                </c:pt>
                <c:pt idx="26">
                  <c:v>4.3609942156331662</c:v>
                </c:pt>
                <c:pt idx="27">
                  <c:v>4.3609942156331662</c:v>
                </c:pt>
                <c:pt idx="28">
                  <c:v>4.3609942156331662</c:v>
                </c:pt>
                <c:pt idx="29">
                  <c:v>4.3609942156331662</c:v>
                </c:pt>
                <c:pt idx="30">
                  <c:v>4.3609942156331662</c:v>
                </c:pt>
                <c:pt idx="31">
                  <c:v>4.3609942156331662</c:v>
                </c:pt>
                <c:pt idx="32">
                  <c:v>4.3609942156331662</c:v>
                </c:pt>
                <c:pt idx="33">
                  <c:v>4.3609942156331662</c:v>
                </c:pt>
                <c:pt idx="34">
                  <c:v>4.3609942156331662</c:v>
                </c:pt>
                <c:pt idx="35">
                  <c:v>4.3609942156331662</c:v>
                </c:pt>
                <c:pt idx="36">
                  <c:v>4.3609942156331662</c:v>
                </c:pt>
                <c:pt idx="37">
                  <c:v>4.3609942156331662</c:v>
                </c:pt>
                <c:pt idx="38">
                  <c:v>4.3609942156331662</c:v>
                </c:pt>
                <c:pt idx="39">
                  <c:v>4.3609942156331662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54-4FA5-9419-897A3AD51BDB}"/>
            </c:ext>
          </c:extLst>
        </c:ser>
        <c:ser>
          <c:idx val="5"/>
          <c:order val="5"/>
          <c:tx>
            <c:strRef>
              <c:f>'Process 2 Data Analysis'!$L$2</c:f>
              <c:strCache>
                <c:ptCount val="1"/>
                <c:pt idx="0">
                  <c:v>1,33σ (lower)</c:v>
                </c:pt>
              </c:strCache>
            </c:strRef>
          </c:tx>
          <c:spPr>
            <a:ln w="15875" cap="rnd">
              <a:solidFill>
                <a:schemeClr val="accent5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'Process 2 Data Analysis'!$L$3:$L$42</c:f>
              <c:numCache>
                <c:formatCode>General</c:formatCode>
                <c:ptCount val="40"/>
                <c:pt idx="0">
                  <c:v>3.9005784366834106E-2</c:v>
                </c:pt>
                <c:pt idx="1">
                  <c:v>3.9005784366834106E-2</c:v>
                </c:pt>
                <c:pt idx="2">
                  <c:v>3.9005784366834106E-2</c:v>
                </c:pt>
                <c:pt idx="3">
                  <c:v>3.9005784366834106E-2</c:v>
                </c:pt>
                <c:pt idx="4">
                  <c:v>3.9005784366834106E-2</c:v>
                </c:pt>
                <c:pt idx="5">
                  <c:v>3.9005784366834106E-2</c:v>
                </c:pt>
                <c:pt idx="6">
                  <c:v>3.9005784366834106E-2</c:v>
                </c:pt>
                <c:pt idx="7">
                  <c:v>3.9005784366834106E-2</c:v>
                </c:pt>
                <c:pt idx="8">
                  <c:v>3.9005784366834106E-2</c:v>
                </c:pt>
                <c:pt idx="9">
                  <c:v>3.9005784366834106E-2</c:v>
                </c:pt>
                <c:pt idx="10">
                  <c:v>3.9005784366834106E-2</c:v>
                </c:pt>
                <c:pt idx="11">
                  <c:v>3.9005784366834106E-2</c:v>
                </c:pt>
                <c:pt idx="12">
                  <c:v>3.9005784366834106E-2</c:v>
                </c:pt>
                <c:pt idx="13">
                  <c:v>3.9005784366834106E-2</c:v>
                </c:pt>
                <c:pt idx="14">
                  <c:v>3.9005784366834106E-2</c:v>
                </c:pt>
                <c:pt idx="15">
                  <c:v>3.9005784366834106E-2</c:v>
                </c:pt>
                <c:pt idx="16">
                  <c:v>3.9005784366834106E-2</c:v>
                </c:pt>
                <c:pt idx="17">
                  <c:v>3.9005784366834106E-2</c:v>
                </c:pt>
                <c:pt idx="18">
                  <c:v>3.9005784366834106E-2</c:v>
                </c:pt>
                <c:pt idx="19">
                  <c:v>3.9005784366834106E-2</c:v>
                </c:pt>
                <c:pt idx="20">
                  <c:v>3.9005784366834106E-2</c:v>
                </c:pt>
                <c:pt idx="21">
                  <c:v>3.9005784366834106E-2</c:v>
                </c:pt>
                <c:pt idx="22">
                  <c:v>3.9005784366834106E-2</c:v>
                </c:pt>
                <c:pt idx="23">
                  <c:v>3.9005784366834106E-2</c:v>
                </c:pt>
                <c:pt idx="24">
                  <c:v>3.9005784366834106E-2</c:v>
                </c:pt>
                <c:pt idx="25">
                  <c:v>3.9005784366834106E-2</c:v>
                </c:pt>
                <c:pt idx="26">
                  <c:v>3.9005784366834106E-2</c:v>
                </c:pt>
                <c:pt idx="27">
                  <c:v>3.9005784366834106E-2</c:v>
                </c:pt>
                <c:pt idx="28">
                  <c:v>3.9005784366834106E-2</c:v>
                </c:pt>
                <c:pt idx="29">
                  <c:v>3.9005784366834106E-2</c:v>
                </c:pt>
                <c:pt idx="30">
                  <c:v>3.9005784366834106E-2</c:v>
                </c:pt>
                <c:pt idx="31">
                  <c:v>3.9005784366834106E-2</c:v>
                </c:pt>
                <c:pt idx="32">
                  <c:v>3.9005784366834106E-2</c:v>
                </c:pt>
                <c:pt idx="33">
                  <c:v>3.9005784366834106E-2</c:v>
                </c:pt>
                <c:pt idx="34">
                  <c:v>3.9005784366834106E-2</c:v>
                </c:pt>
                <c:pt idx="35">
                  <c:v>3.9005784366834106E-2</c:v>
                </c:pt>
                <c:pt idx="36">
                  <c:v>3.9005784366834106E-2</c:v>
                </c:pt>
                <c:pt idx="37">
                  <c:v>3.9005784366834106E-2</c:v>
                </c:pt>
                <c:pt idx="38">
                  <c:v>3.9005784366834106E-2</c:v>
                </c:pt>
                <c:pt idx="39">
                  <c:v>3.9005784366834106E-2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54-4FA5-9419-897A3AD51BDB}"/>
            </c:ext>
          </c:extLst>
        </c:ser>
        <c:ser>
          <c:idx val="6"/>
          <c:order val="6"/>
          <c:tx>
            <c:strRef>
              <c:f>'Process 2 Data Analysis'!$M$2</c:f>
              <c:strCache>
                <c:ptCount val="1"/>
                <c:pt idx="0">
                  <c:v>0,67σ (upper)</c:v>
                </c:pt>
              </c:strCache>
            </c:strRef>
          </c:tx>
          <c:spPr>
            <a:ln w="15875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Analysis'!$M$3:$M$42</c:f>
              <c:numCache>
                <c:formatCode>General</c:formatCode>
                <c:ptCount val="40"/>
                <c:pt idx="0">
                  <c:v>3.2886211462212191</c:v>
                </c:pt>
                <c:pt idx="1">
                  <c:v>3.2886211462212191</c:v>
                </c:pt>
                <c:pt idx="2">
                  <c:v>3.2886211462212191</c:v>
                </c:pt>
                <c:pt idx="3">
                  <c:v>3.2886211462212191</c:v>
                </c:pt>
                <c:pt idx="4">
                  <c:v>3.2886211462212191</c:v>
                </c:pt>
                <c:pt idx="5">
                  <c:v>3.2886211462212191</c:v>
                </c:pt>
                <c:pt idx="6">
                  <c:v>3.2886211462212191</c:v>
                </c:pt>
                <c:pt idx="7">
                  <c:v>3.2886211462212191</c:v>
                </c:pt>
                <c:pt idx="8">
                  <c:v>3.2886211462212191</c:v>
                </c:pt>
                <c:pt idx="9">
                  <c:v>3.2886211462212191</c:v>
                </c:pt>
                <c:pt idx="10">
                  <c:v>3.2886211462212191</c:v>
                </c:pt>
                <c:pt idx="11">
                  <c:v>3.2886211462212191</c:v>
                </c:pt>
                <c:pt idx="12">
                  <c:v>3.2886211462212191</c:v>
                </c:pt>
                <c:pt idx="13">
                  <c:v>3.2886211462212191</c:v>
                </c:pt>
                <c:pt idx="14">
                  <c:v>3.2886211462212191</c:v>
                </c:pt>
                <c:pt idx="15">
                  <c:v>3.2886211462212191</c:v>
                </c:pt>
                <c:pt idx="16">
                  <c:v>3.2886211462212191</c:v>
                </c:pt>
                <c:pt idx="17">
                  <c:v>3.2886211462212191</c:v>
                </c:pt>
                <c:pt idx="18">
                  <c:v>3.2886211462212191</c:v>
                </c:pt>
                <c:pt idx="19">
                  <c:v>3.2886211462212191</c:v>
                </c:pt>
                <c:pt idx="20">
                  <c:v>3.2886211462212191</c:v>
                </c:pt>
                <c:pt idx="21">
                  <c:v>3.2886211462212191</c:v>
                </c:pt>
                <c:pt idx="22">
                  <c:v>3.2886211462212191</c:v>
                </c:pt>
                <c:pt idx="23">
                  <c:v>3.2886211462212191</c:v>
                </c:pt>
                <c:pt idx="24">
                  <c:v>3.2886211462212191</c:v>
                </c:pt>
                <c:pt idx="25">
                  <c:v>3.2886211462212191</c:v>
                </c:pt>
                <c:pt idx="26">
                  <c:v>3.2886211462212191</c:v>
                </c:pt>
                <c:pt idx="27">
                  <c:v>3.2886211462212191</c:v>
                </c:pt>
                <c:pt idx="28">
                  <c:v>3.2886211462212191</c:v>
                </c:pt>
                <c:pt idx="29">
                  <c:v>3.2886211462212191</c:v>
                </c:pt>
                <c:pt idx="30">
                  <c:v>3.2886211462212191</c:v>
                </c:pt>
                <c:pt idx="31">
                  <c:v>3.2886211462212191</c:v>
                </c:pt>
                <c:pt idx="32">
                  <c:v>3.2886211462212191</c:v>
                </c:pt>
                <c:pt idx="33">
                  <c:v>3.2886211462212191</c:v>
                </c:pt>
                <c:pt idx="34">
                  <c:v>3.2886211462212191</c:v>
                </c:pt>
                <c:pt idx="35">
                  <c:v>3.2886211462212191</c:v>
                </c:pt>
                <c:pt idx="36">
                  <c:v>3.2886211462212191</c:v>
                </c:pt>
                <c:pt idx="37">
                  <c:v>3.2886211462212191</c:v>
                </c:pt>
                <c:pt idx="38">
                  <c:v>3.2886211462212191</c:v>
                </c:pt>
                <c:pt idx="39">
                  <c:v>3.2886211462212191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B54-4FA5-9419-897A3AD51BDB}"/>
            </c:ext>
          </c:extLst>
        </c:ser>
        <c:ser>
          <c:idx val="7"/>
          <c:order val="7"/>
          <c:tx>
            <c:strRef>
              <c:f>'Process 2 Data Analysis'!$N$2</c:f>
              <c:strCache>
                <c:ptCount val="1"/>
                <c:pt idx="0">
                  <c:v>0,67σ (lower)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'Process 2 Data Analysis'!$N$3:$N$42</c:f>
              <c:numCache>
                <c:formatCode>General</c:formatCode>
                <c:ptCount val="40"/>
                <c:pt idx="0">
                  <c:v>1.1113788537787812</c:v>
                </c:pt>
                <c:pt idx="1">
                  <c:v>1.1113788537787812</c:v>
                </c:pt>
                <c:pt idx="2">
                  <c:v>1.1113788537787812</c:v>
                </c:pt>
                <c:pt idx="3">
                  <c:v>1.1113788537787812</c:v>
                </c:pt>
                <c:pt idx="4">
                  <c:v>1.1113788537787812</c:v>
                </c:pt>
                <c:pt idx="5">
                  <c:v>1.1113788537787812</c:v>
                </c:pt>
                <c:pt idx="6">
                  <c:v>1.1113788537787812</c:v>
                </c:pt>
                <c:pt idx="7">
                  <c:v>1.1113788537787812</c:v>
                </c:pt>
                <c:pt idx="8">
                  <c:v>1.1113788537787812</c:v>
                </c:pt>
                <c:pt idx="9">
                  <c:v>1.1113788537787812</c:v>
                </c:pt>
                <c:pt idx="10">
                  <c:v>1.1113788537787812</c:v>
                </c:pt>
                <c:pt idx="11">
                  <c:v>1.1113788537787812</c:v>
                </c:pt>
                <c:pt idx="12">
                  <c:v>1.1113788537787812</c:v>
                </c:pt>
                <c:pt idx="13">
                  <c:v>1.1113788537787812</c:v>
                </c:pt>
                <c:pt idx="14">
                  <c:v>1.1113788537787812</c:v>
                </c:pt>
                <c:pt idx="15">
                  <c:v>1.1113788537787812</c:v>
                </c:pt>
                <c:pt idx="16">
                  <c:v>1.1113788537787812</c:v>
                </c:pt>
                <c:pt idx="17">
                  <c:v>1.1113788537787812</c:v>
                </c:pt>
                <c:pt idx="18">
                  <c:v>1.1113788537787812</c:v>
                </c:pt>
                <c:pt idx="19">
                  <c:v>1.1113788537787812</c:v>
                </c:pt>
                <c:pt idx="20">
                  <c:v>1.1113788537787812</c:v>
                </c:pt>
                <c:pt idx="21">
                  <c:v>1.1113788537787812</c:v>
                </c:pt>
                <c:pt idx="22">
                  <c:v>1.1113788537787812</c:v>
                </c:pt>
                <c:pt idx="23">
                  <c:v>1.1113788537787812</c:v>
                </c:pt>
                <c:pt idx="24">
                  <c:v>1.1113788537787812</c:v>
                </c:pt>
                <c:pt idx="25">
                  <c:v>1.1113788537787812</c:v>
                </c:pt>
                <c:pt idx="26">
                  <c:v>1.1113788537787812</c:v>
                </c:pt>
                <c:pt idx="27">
                  <c:v>1.1113788537787812</c:v>
                </c:pt>
                <c:pt idx="28">
                  <c:v>1.1113788537787812</c:v>
                </c:pt>
                <c:pt idx="29">
                  <c:v>1.1113788537787812</c:v>
                </c:pt>
                <c:pt idx="30">
                  <c:v>1.1113788537787812</c:v>
                </c:pt>
                <c:pt idx="31">
                  <c:v>1.1113788537787812</c:v>
                </c:pt>
                <c:pt idx="32">
                  <c:v>1.1113788537787812</c:v>
                </c:pt>
                <c:pt idx="33">
                  <c:v>1.1113788537787812</c:v>
                </c:pt>
                <c:pt idx="34">
                  <c:v>1.1113788537787812</c:v>
                </c:pt>
                <c:pt idx="35">
                  <c:v>1.1113788537787812</c:v>
                </c:pt>
                <c:pt idx="36">
                  <c:v>1.1113788537787812</c:v>
                </c:pt>
                <c:pt idx="37">
                  <c:v>1.1113788537787812</c:v>
                </c:pt>
                <c:pt idx="38">
                  <c:v>1.1113788537787812</c:v>
                </c:pt>
                <c:pt idx="39">
                  <c:v>1.1113788537787812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B54-4FA5-9419-897A3AD51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852095"/>
        <c:axId val="1503855455"/>
      </c:lineChart>
      <c:catAx>
        <c:axId val="1503852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55455"/>
        <c:crosses val="autoZero"/>
        <c:auto val="1"/>
        <c:lblAlgn val="ctr"/>
        <c:lblOffset val="100"/>
        <c:noMultiLvlLbl val="0"/>
      </c:catAx>
      <c:valAx>
        <c:axId val="15038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Non-Defects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5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84447</xdr:colOff>
      <xdr:row>6</xdr:row>
      <xdr:rowOff>36544</xdr:rowOff>
    </xdr:from>
    <xdr:ext cx="1120884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759F25-A3BB-40A9-A33D-7F94810D3A52}"/>
                </a:ext>
              </a:extLst>
            </xdr:cNvPr>
            <xdr:cNvSpPr txBox="1"/>
          </xdr:nvSpPr>
          <xdr:spPr>
            <a:xfrm>
              <a:off x="18994309" y="2121096"/>
              <a:ext cx="1120884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accPr>
                      <m:e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𝑛𝑝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̅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𝑛𝑝</m:t>
                            </m:r>
                          </m:e>
                        </m:acc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9759F25-A3BB-40A9-A33D-7F94810D3A52}"/>
                </a:ext>
              </a:extLst>
            </xdr:cNvPr>
            <xdr:cNvSpPr txBox="1"/>
          </xdr:nvSpPr>
          <xdr:spPr>
            <a:xfrm>
              <a:off x="18994309" y="2121096"/>
              <a:ext cx="1120884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𝐿𝐶𝐿=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(𝑛𝑝) ̅</a:t>
              </a:r>
              <a:r>
                <a:rPr lang="en-ZA" sz="1100" b="0" i="0">
                  <a:latin typeface="Cambria Math" panose="02040503050406030204" pitchFamily="18" charset="0"/>
                </a:rPr>
                <a:t>−2√(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(𝑛𝑝)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24</xdr:col>
      <xdr:colOff>68440</xdr:colOff>
      <xdr:row>7</xdr:row>
      <xdr:rowOff>123173</xdr:rowOff>
    </xdr:from>
    <xdr:ext cx="1143070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E37257-DF88-4092-B2B6-57B9E432BD4E}"/>
                </a:ext>
              </a:extLst>
            </xdr:cNvPr>
            <xdr:cNvSpPr txBox="1"/>
          </xdr:nvSpPr>
          <xdr:spPr>
            <a:xfrm>
              <a:off x="18978302" y="2391656"/>
              <a:ext cx="114307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𝑈𝐶𝐿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̅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𝑛𝑝</m:t>
                            </m:r>
                          </m:e>
                        </m:acc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E37257-DF88-4092-B2B6-57B9E432BD4E}"/>
                </a:ext>
              </a:extLst>
            </xdr:cNvPr>
            <xdr:cNvSpPr txBox="1"/>
          </xdr:nvSpPr>
          <xdr:spPr>
            <a:xfrm>
              <a:off x="18978302" y="2391656"/>
              <a:ext cx="1143070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𝑈𝐶𝐿=(𝑛𝑝) ̅+2√(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(𝑛𝑝)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ZA" sz="1100"/>
            </a:p>
          </xdr:txBody>
        </xdr:sp>
      </mc:Fallback>
    </mc:AlternateContent>
    <xdr:clientData/>
  </xdr:oneCellAnchor>
  <xdr:twoCellAnchor>
    <xdr:from>
      <xdr:col>29</xdr:col>
      <xdr:colOff>137572</xdr:colOff>
      <xdr:row>10</xdr:row>
      <xdr:rowOff>205946</xdr:rowOff>
    </xdr:from>
    <xdr:to>
      <xdr:col>35</xdr:col>
      <xdr:colOff>319216</xdr:colOff>
      <xdr:row>20</xdr:row>
      <xdr:rowOff>87629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074CD7-F335-4062-B8A3-D0E9E32C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13</xdr:col>
      <xdr:colOff>160551</xdr:colOff>
      <xdr:row>52</xdr:row>
      <xdr:rowOff>165462</xdr:rowOff>
    </xdr:from>
    <xdr:ext cx="947054" cy="1922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31860F-473F-48C1-909E-0268660DB71A}"/>
                </a:ext>
              </a:extLst>
            </xdr:cNvPr>
            <xdr:cNvSpPr txBox="1"/>
          </xdr:nvSpPr>
          <xdr:spPr>
            <a:xfrm>
              <a:off x="16385678" y="9174744"/>
              <a:ext cx="947054" cy="192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𝑈𝐶𝐿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̅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𝑐</m:t>
                            </m:r>
                          </m:e>
                        </m:acc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5731860F-473F-48C1-909E-0268660DB71A}"/>
                </a:ext>
              </a:extLst>
            </xdr:cNvPr>
            <xdr:cNvSpPr txBox="1"/>
          </xdr:nvSpPr>
          <xdr:spPr>
            <a:xfrm>
              <a:off x="16385678" y="9174744"/>
              <a:ext cx="947054" cy="1922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𝑈𝐶𝐿=𝑐 ̅+2√(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𝑐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13</xdr:col>
      <xdr:colOff>207702</xdr:colOff>
      <xdr:row>50</xdr:row>
      <xdr:rowOff>162095</xdr:rowOff>
    </xdr:from>
    <xdr:ext cx="887872" cy="19088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A5552C2-9B0A-485F-B92C-76462D665EA0}"/>
                </a:ext>
              </a:extLst>
            </xdr:cNvPr>
            <xdr:cNvSpPr txBox="1"/>
          </xdr:nvSpPr>
          <xdr:spPr>
            <a:xfrm>
              <a:off x="16432829" y="8809322"/>
              <a:ext cx="887872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/>
                <a:t>L</a:t>
              </a:r>
              <a14:m>
                <m:oMath xmlns:m="http://schemas.openxmlformats.org/officeDocument/2006/math">
                  <m:r>
                    <a:rPr lang="en-ZA" sz="1100" b="0" i="1">
                      <a:latin typeface="Cambria Math" panose="02040503050406030204" pitchFamily="18" charset="0"/>
                    </a:rPr>
                    <m:t>𝐶𝐿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ZA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acc>
                  <m:r>
                    <a:rPr lang="en-ZA" sz="11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2</m:t>
                  </m:r>
                  <m:rad>
                    <m:radPr>
                      <m:degHide m:val="on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acc>
                        <m:accPr>
                          <m:chr m:val="̅"/>
                          <m:ctrlPr>
                            <a:rPr lang="en-ZA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ZA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𝑐</m:t>
                          </m:r>
                        </m:e>
                      </m:acc>
                    </m:e>
                  </m:rad>
                </m:oMath>
              </a14:m>
              <a:endParaRPr lang="en-ZA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A5552C2-9B0A-485F-B92C-76462D665EA0}"/>
                </a:ext>
              </a:extLst>
            </xdr:cNvPr>
            <xdr:cNvSpPr txBox="1"/>
          </xdr:nvSpPr>
          <xdr:spPr>
            <a:xfrm>
              <a:off x="16432829" y="8809322"/>
              <a:ext cx="887872" cy="1908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/>
                <a:t>L</a:t>
              </a:r>
              <a:r>
                <a:rPr lang="en-ZA" sz="1100" b="0" i="0">
                  <a:latin typeface="Cambria Math" panose="02040503050406030204" pitchFamily="18" charset="0"/>
                </a:rPr>
                <a:t>𝐶𝐿=𝑐 ̅−2√(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𝑐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13</xdr:col>
      <xdr:colOff>566389</xdr:colOff>
      <xdr:row>48</xdr:row>
      <xdr:rowOff>99788</xdr:rowOff>
    </xdr:from>
    <xdr:ext cx="472373" cy="327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741D6E3-462C-4848-B73D-A96EDD4F3BAA}"/>
                </a:ext>
              </a:extLst>
            </xdr:cNvPr>
            <xdr:cNvSpPr txBox="1"/>
          </xdr:nvSpPr>
          <xdr:spPr>
            <a:xfrm>
              <a:off x="16791516" y="8384959"/>
              <a:ext cx="472373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ZA" sz="11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ZA" sz="11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</m:nary>
                      </m:num>
                      <m:den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741D6E3-462C-4848-B73D-A96EDD4F3BAA}"/>
                </a:ext>
              </a:extLst>
            </xdr:cNvPr>
            <xdr:cNvSpPr txBox="1"/>
          </xdr:nvSpPr>
          <xdr:spPr>
            <a:xfrm>
              <a:off x="16791516" y="8384959"/>
              <a:ext cx="472373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𝑐 ̅=(∑▒𝑐)/𝑛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13</xdr:col>
      <xdr:colOff>258097</xdr:colOff>
      <xdr:row>77</xdr:row>
      <xdr:rowOff>172065</xdr:rowOff>
    </xdr:from>
    <xdr:ext cx="1458284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933131C-2192-43ED-BF2E-9BC6324AF71A}"/>
                </a:ext>
              </a:extLst>
            </xdr:cNvPr>
            <xdr:cNvSpPr txBox="1"/>
          </xdr:nvSpPr>
          <xdr:spPr>
            <a:xfrm>
              <a:off x="16112613" y="14809839"/>
              <a:ext cx="145828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ZA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</m:acc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.(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</m:acc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num>
                          <m:den>
                            <m:r>
                              <a:rPr lang="en-ZA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933131C-2192-43ED-BF2E-9BC6324AF71A}"/>
                </a:ext>
              </a:extLst>
            </xdr:cNvPr>
            <xdr:cNvSpPr txBox="1"/>
          </xdr:nvSpPr>
          <xdr:spPr>
            <a:xfrm>
              <a:off x="16112613" y="14809839"/>
              <a:ext cx="145828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𝐿𝐶𝐿=𝑝 ̅−2√((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 ̅.(1−𝑝 ̅))/</a:t>
              </a:r>
              <a:r>
                <a:rPr lang="en-ZA" sz="1100" b="0" i="0">
                  <a:latin typeface="Cambria Math" panose="02040503050406030204" pitchFamily="18" charset="0"/>
                </a:rPr>
                <a:t>𝑛)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13</xdr:col>
      <xdr:colOff>264350</xdr:colOff>
      <xdr:row>81</xdr:row>
      <xdr:rowOff>49266</xdr:rowOff>
    </xdr:from>
    <xdr:ext cx="1480470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6A83E31-1A18-4971-8DEE-7534555AA17F}"/>
                </a:ext>
              </a:extLst>
            </xdr:cNvPr>
            <xdr:cNvSpPr txBox="1"/>
          </xdr:nvSpPr>
          <xdr:spPr>
            <a:xfrm>
              <a:off x="16118866" y="15424460"/>
              <a:ext cx="148047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𝑈𝐶𝐿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ZA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</m:acc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.(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acc>
                          </m:num>
                          <m:den>
                            <m:r>
                              <a:rPr lang="en-ZA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36A83E31-1A18-4971-8DEE-7534555AA17F}"/>
                </a:ext>
              </a:extLst>
            </xdr:cNvPr>
            <xdr:cNvSpPr txBox="1"/>
          </xdr:nvSpPr>
          <xdr:spPr>
            <a:xfrm>
              <a:off x="16118866" y="15424460"/>
              <a:ext cx="148047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𝑈𝐶𝐿=𝑝 ̅+2√((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 ̅.(1−(𝑝)) ̅)/</a:t>
              </a:r>
              <a:r>
                <a:rPr lang="en-ZA" sz="1100" b="0" i="0">
                  <a:latin typeface="Cambria Math" panose="02040503050406030204" pitchFamily="18" charset="0"/>
                </a:rPr>
                <a:t>𝑛)</a:t>
              </a:r>
              <a:endParaRPr lang="en-ZA" sz="1100"/>
            </a:p>
          </xdr:txBody>
        </xdr:sp>
      </mc:Fallback>
    </mc:AlternateContent>
    <xdr:clientData/>
  </xdr:oneCellAnchor>
  <xdr:twoCellAnchor>
    <xdr:from>
      <xdr:col>25</xdr:col>
      <xdr:colOff>381000</xdr:colOff>
      <xdr:row>60</xdr:row>
      <xdr:rowOff>531164</xdr:rowOff>
    </xdr:from>
    <xdr:to>
      <xdr:col>34</xdr:col>
      <xdr:colOff>142371</xdr:colOff>
      <xdr:row>84</xdr:row>
      <xdr:rowOff>139700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68E5056-B635-9486-467C-BACF9872D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24</xdr:col>
      <xdr:colOff>205658</xdr:colOff>
      <xdr:row>2</xdr:row>
      <xdr:rowOff>345270</xdr:rowOff>
    </xdr:from>
    <xdr:ext cx="765786" cy="327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29C2914-2251-43E6-97DE-E6CFC3390A23}"/>
                </a:ext>
              </a:extLst>
            </xdr:cNvPr>
            <xdr:cNvSpPr txBox="1"/>
          </xdr:nvSpPr>
          <xdr:spPr>
            <a:xfrm>
              <a:off x="19115520" y="1466373"/>
              <a:ext cx="765786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𝑛𝑝𝑖</m:t>
                            </m:r>
                          </m:e>
                        </m:nary>
                      </m:num>
                      <m:den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</m:den>
                    </m:f>
                    <m:r>
                      <a:rPr lang="en-ZA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829C2914-2251-43E6-97DE-E6CFC3390A23}"/>
                </a:ext>
              </a:extLst>
            </xdr:cNvPr>
            <xdr:cNvSpPr txBox="1"/>
          </xdr:nvSpPr>
          <xdr:spPr>
            <a:xfrm>
              <a:off x="19115520" y="1466373"/>
              <a:ext cx="765786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(𝑛𝑝) ̅= 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(∑▒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𝑛𝑝𝑖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 </a:t>
              </a:r>
              <a:r>
                <a:rPr lang="en-ZA" sz="1100" b="0" i="0">
                  <a:latin typeface="Cambria Math" panose="02040503050406030204" pitchFamily="18" charset="0"/>
                </a:rPr>
                <a:t> </a:t>
              </a:r>
              <a:endParaRPr lang="en-ZA" sz="1100"/>
            </a:p>
          </xdr:txBody>
        </xdr:sp>
      </mc:Fallback>
    </mc:AlternateContent>
    <xdr:clientData/>
  </xdr:oneCellAnchor>
  <xdr:twoCellAnchor>
    <xdr:from>
      <xdr:col>25</xdr:col>
      <xdr:colOff>50801</xdr:colOff>
      <xdr:row>31</xdr:row>
      <xdr:rowOff>409328</xdr:rowOff>
    </xdr:from>
    <xdr:to>
      <xdr:col>34</xdr:col>
      <xdr:colOff>40613</xdr:colOff>
      <xdr:row>52</xdr:row>
      <xdr:rowOff>139699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D5CEF9BE-FDD2-F626-614A-296BA81A2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186581</xdr:colOff>
      <xdr:row>11</xdr:row>
      <xdr:rowOff>172162</xdr:rowOff>
    </xdr:from>
    <xdr:to>
      <xdr:col>27</xdr:col>
      <xdr:colOff>513522</xdr:colOff>
      <xdr:row>22</xdr:row>
      <xdr:rowOff>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9B80448-8AC0-191C-89F5-306BAC75D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144162</xdr:colOff>
      <xdr:row>148</xdr:row>
      <xdr:rowOff>123569</xdr:rowOff>
    </xdr:from>
    <xdr:ext cx="1458284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B779314-9C71-4D6D-98F2-2EA720CA46D1}"/>
                </a:ext>
              </a:extLst>
            </xdr:cNvPr>
            <xdr:cNvSpPr txBox="1"/>
          </xdr:nvSpPr>
          <xdr:spPr>
            <a:xfrm>
              <a:off x="9875108" y="1040028"/>
              <a:ext cx="145828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ZA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</m:acc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.(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</m:acc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num>
                          <m:den>
                            <m:r>
                              <a:rPr lang="en-ZA" sz="1100" b="0" i="1">
                                <a:latin typeface="Cambria Math" panose="02040503050406030204" pitchFamily="18" charset="0"/>
                              </a:rPr>
                              <m:t>𝑛𝑖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B779314-9C71-4D6D-98F2-2EA720CA46D1}"/>
                </a:ext>
              </a:extLst>
            </xdr:cNvPr>
            <xdr:cNvSpPr txBox="1"/>
          </xdr:nvSpPr>
          <xdr:spPr>
            <a:xfrm>
              <a:off x="9875108" y="1040028"/>
              <a:ext cx="1458284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𝐿𝐶𝐿=𝑝 ̅−2√((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 ̅.(1−𝑝 ̅))/</a:t>
              </a:r>
              <a:r>
                <a:rPr lang="en-ZA" sz="1100" b="0" i="0">
                  <a:latin typeface="Cambria Math" panose="02040503050406030204" pitchFamily="18" charset="0"/>
                </a:rPr>
                <a:t>𝑛𝑖)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6</xdr:col>
      <xdr:colOff>150415</xdr:colOff>
      <xdr:row>152</xdr:row>
      <xdr:rowOff>4412</xdr:rowOff>
    </xdr:from>
    <xdr:ext cx="1480470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6A80A2-A9B5-475B-98C5-2E7B8B790E86}"/>
                </a:ext>
              </a:extLst>
            </xdr:cNvPr>
            <xdr:cNvSpPr txBox="1"/>
          </xdr:nvSpPr>
          <xdr:spPr>
            <a:xfrm>
              <a:off x="9881361" y="1662277"/>
              <a:ext cx="148047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𝑈𝐶𝐿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ZA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</m:e>
                            </m:acc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.(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𝑝</m:t>
                                </m:r>
                                <m:r>
                                  <a:rPr lang="en-ZA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acc>
                          </m:num>
                          <m:den>
                            <m:r>
                              <a:rPr lang="en-ZA" sz="1100" b="0" i="1">
                                <a:latin typeface="Cambria Math" panose="02040503050406030204" pitchFamily="18" charset="0"/>
                              </a:rPr>
                              <m:t>𝑛𝑖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6A80A2-A9B5-475B-98C5-2E7B8B790E86}"/>
                </a:ext>
              </a:extLst>
            </xdr:cNvPr>
            <xdr:cNvSpPr txBox="1"/>
          </xdr:nvSpPr>
          <xdr:spPr>
            <a:xfrm>
              <a:off x="9881361" y="1662277"/>
              <a:ext cx="1480470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𝑈𝐶𝐿=𝑝 ̅+2√((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𝑝 ̅.(1−(𝑝)) ̅)/</a:t>
              </a:r>
              <a:r>
                <a:rPr lang="en-ZA" sz="1100" b="0" i="0">
                  <a:latin typeface="Cambria Math" panose="02040503050406030204" pitchFamily="18" charset="0"/>
                </a:rPr>
                <a:t>𝑛𝑖)</a:t>
              </a:r>
              <a:endParaRPr lang="en-ZA" sz="1100"/>
            </a:p>
          </xdr:txBody>
        </xdr:sp>
      </mc:Fallback>
    </mc:AlternateContent>
    <xdr:clientData/>
  </xdr:oneCellAnchor>
  <xdr:twoCellAnchor>
    <xdr:from>
      <xdr:col>6</xdr:col>
      <xdr:colOff>90055</xdr:colOff>
      <xdr:row>163</xdr:row>
      <xdr:rowOff>69273</xdr:rowOff>
    </xdr:from>
    <xdr:to>
      <xdr:col>13</xdr:col>
      <xdr:colOff>394855</xdr:colOff>
      <xdr:row>178</xdr:row>
      <xdr:rowOff>96982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DF904-51C9-7AC7-48BA-A8632CF31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558671</xdr:colOff>
      <xdr:row>3</xdr:row>
      <xdr:rowOff>88232</xdr:rowOff>
    </xdr:from>
    <xdr:ext cx="573169" cy="32720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329DEC1-0569-474B-BBD5-7219D524B65A}"/>
                </a:ext>
              </a:extLst>
            </xdr:cNvPr>
            <xdr:cNvSpPr txBox="1"/>
          </xdr:nvSpPr>
          <xdr:spPr>
            <a:xfrm>
              <a:off x="13310695" y="1024666"/>
              <a:ext cx="573169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subHide m:val="on"/>
                            <m:supHide m:val="on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</m:nary>
                      </m:num>
                      <m:den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den>
                    </m:f>
                    <m:r>
                      <a:rPr lang="en-ZA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329DEC1-0569-474B-BBD5-7219D524B65A}"/>
                </a:ext>
              </a:extLst>
            </xdr:cNvPr>
            <xdr:cNvSpPr txBox="1"/>
          </xdr:nvSpPr>
          <xdr:spPr>
            <a:xfrm>
              <a:off x="13310695" y="1024666"/>
              <a:ext cx="573169" cy="3272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𝑔 ̅= 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(∑▒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 </a:t>
              </a:r>
              <a:r>
                <a:rPr lang="en-ZA" sz="1100" b="0" i="0">
                  <a:latin typeface="Cambria Math" panose="02040503050406030204" pitchFamily="18" charset="0"/>
                </a:rPr>
                <a:t> 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14</xdr:col>
      <xdr:colOff>311059</xdr:colOff>
      <xdr:row>5</xdr:row>
      <xdr:rowOff>161823</xdr:rowOff>
    </xdr:from>
    <xdr:ext cx="1427763" cy="57263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ABCBE2F-595A-4431-9B5B-6EBA09E0C615}"/>
                </a:ext>
              </a:extLst>
            </xdr:cNvPr>
            <xdr:cNvSpPr txBox="1"/>
          </xdr:nvSpPr>
          <xdr:spPr>
            <a:xfrm>
              <a:off x="12457155" y="1465486"/>
              <a:ext cx="1427763" cy="572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100" b="0" i="1">
                        <a:latin typeface="Cambria Math" panose="02040503050406030204" pitchFamily="18" charset="0"/>
                      </a:rPr>
                      <m:t>𝐿𝐶𝐿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=</m:t>
                    </m:r>
                    <m:acc>
                      <m:accPr>
                        <m:chr m:val="̅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ZA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</m:acc>
                    <m:r>
                      <a:rPr lang="en-ZA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ZA" sz="1100" b="0" i="1">
                        <a:latin typeface="Cambria Math" panose="02040503050406030204" pitchFamily="18" charset="0"/>
                      </a:rPr>
                      <m:t>2</m:t>
                    </m:r>
                    <m:rad>
                      <m:radPr>
                        <m:degHide m:val="on"/>
                        <m:ctrlPr>
                          <a:rPr lang="en-ZA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acc>
                          <m:accPr>
                            <m:chr m:val="̅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</m:acc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acc>
                          <m:accPr>
                            <m:chr m:val="̅"/>
                            <m:ctrlP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r>
                              <a:rPr lang="en-ZA" sz="11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𝑔</m:t>
                            </m:r>
                          </m:e>
                        </m:acc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en-Z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ZA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BABCBE2F-595A-4431-9B5B-6EBA09E0C615}"/>
                </a:ext>
              </a:extLst>
            </xdr:cNvPr>
            <xdr:cNvSpPr txBox="1"/>
          </xdr:nvSpPr>
          <xdr:spPr>
            <a:xfrm>
              <a:off x="12457155" y="1465486"/>
              <a:ext cx="1427763" cy="5726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ZA" sz="1100" b="0" i="0">
                  <a:latin typeface="Cambria Math" panose="02040503050406030204" pitchFamily="18" charset="0"/>
                </a:rPr>
                <a:t>𝐿𝐶𝐿=𝑔 ̅−2√(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−1))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14</xdr:col>
      <xdr:colOff>331246</xdr:colOff>
      <xdr:row>8</xdr:row>
      <xdr:rowOff>34899</xdr:rowOff>
    </xdr:from>
    <xdr:ext cx="1413913" cy="20499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E8F6A46-3EAB-4BED-BCB9-5EF11F89C21A}"/>
                </a:ext>
              </a:extLst>
            </xdr:cNvPr>
            <xdr:cNvSpPr txBox="1"/>
          </xdr:nvSpPr>
          <xdr:spPr>
            <a:xfrm>
              <a:off x="12477342" y="1889405"/>
              <a:ext cx="141391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/>
                <a:t>U</a:t>
              </a:r>
              <a14:m>
                <m:oMath xmlns:m="http://schemas.openxmlformats.org/officeDocument/2006/math">
                  <m:r>
                    <a:rPr lang="en-ZA" sz="1100" b="0" i="1">
                      <a:latin typeface="Cambria Math" panose="02040503050406030204" pitchFamily="18" charset="0"/>
                    </a:rPr>
                    <m:t>𝐶𝐿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ZA" sz="1100" b="0" i="1">
                          <a:latin typeface="Cambria Math" panose="02040503050406030204" pitchFamily="18" charset="0"/>
                        </a:rPr>
                        <m:t>𝑔</m:t>
                      </m:r>
                    </m:e>
                  </m:acc>
                  <m:r>
                    <a:rPr lang="en-ZA" sz="1100" b="0" i="1">
                      <a:latin typeface="Cambria Math" panose="02040503050406030204" pitchFamily="18" charset="0"/>
                    </a:rPr>
                    <m:t>+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2</m:t>
                  </m:r>
                  <m:rad>
                    <m:radPr>
                      <m:degHide m:val="on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acc>
                        <m:accPr>
                          <m:chr m:val="̅"/>
                          <m:ctrlPr>
                            <a:rPr lang="en-ZA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ZA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𝑔</m:t>
                          </m:r>
                        </m:e>
                      </m:acc>
                      <m:r>
                        <a:rPr lang="en-ZA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acc>
                        <m:accPr>
                          <m:chr m:val="̅"/>
                          <m:ctrlPr>
                            <a:rPr lang="en-ZA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ZA" sz="1100" b="0" i="1">
                              <a:solidFill>
                                <a:schemeClr val="tx1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𝑔</m:t>
                          </m:r>
                        </m:e>
                      </m:acc>
                      <m:r>
                        <a:rPr lang="en-ZA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ZA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  <m:r>
                        <a:rPr lang="en-ZA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</m:rad>
                </m:oMath>
              </a14:m>
              <a:endParaRPr lang="en-ZA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E8F6A46-3EAB-4BED-BCB9-5EF11F89C21A}"/>
                </a:ext>
              </a:extLst>
            </xdr:cNvPr>
            <xdr:cNvSpPr txBox="1"/>
          </xdr:nvSpPr>
          <xdr:spPr>
            <a:xfrm>
              <a:off x="12477342" y="1889405"/>
              <a:ext cx="141391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/>
                <a:t>U</a:t>
              </a:r>
              <a:r>
                <a:rPr lang="en-ZA" sz="1100" b="0" i="0">
                  <a:latin typeface="Cambria Math" panose="02040503050406030204" pitchFamily="18" charset="0"/>
                </a:rPr>
                <a:t>𝐶𝐿=𝑔 ̅+2√(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𝑔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−1))</a:t>
              </a:r>
              <a:endParaRPr lang="en-ZA" sz="1100"/>
            </a:p>
          </xdr:txBody>
        </xdr:sp>
      </mc:Fallback>
    </mc:AlternateContent>
    <xdr:clientData/>
  </xdr:oneCellAnchor>
  <xdr:twoCellAnchor>
    <xdr:from>
      <xdr:col>23</xdr:col>
      <xdr:colOff>288325</xdr:colOff>
      <xdr:row>15</xdr:row>
      <xdr:rowOff>72082</xdr:rowOff>
    </xdr:from>
    <xdr:to>
      <xdr:col>29</xdr:col>
      <xdr:colOff>391178</xdr:colOff>
      <xdr:row>33</xdr:row>
      <xdr:rowOff>117154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BAB7EE2-83C6-6D97-E118-30D5F8BE1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14</xdr:col>
      <xdr:colOff>185786</xdr:colOff>
      <xdr:row>52</xdr:row>
      <xdr:rowOff>138636</xdr:rowOff>
    </xdr:from>
    <xdr:ext cx="976486" cy="344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CD2F55D-5665-4271-A015-CC00EBBC1A25}"/>
                </a:ext>
              </a:extLst>
            </xdr:cNvPr>
            <xdr:cNvSpPr txBox="1"/>
          </xdr:nvSpPr>
          <xdr:spPr>
            <a:xfrm>
              <a:off x="12392029" y="10244038"/>
              <a:ext cx="976486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/>
                <a:t>U</a:t>
              </a:r>
              <a14:m>
                <m:oMath xmlns:m="http://schemas.openxmlformats.org/officeDocument/2006/math">
                  <m:r>
                    <a:rPr lang="en-ZA" sz="1100" b="0" i="1">
                      <a:latin typeface="Cambria Math" panose="02040503050406030204" pitchFamily="18" charset="0"/>
                    </a:rPr>
                    <m:t>𝐶𝐿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ZA" sz="1100" b="0" i="1">
                          <a:latin typeface="Cambria Math" panose="02040503050406030204" pitchFamily="18" charset="0"/>
                        </a:rPr>
                        <m:t>𝑢</m:t>
                      </m:r>
                    </m:e>
                  </m:acc>
                  <m:r>
                    <a:rPr lang="en-ZA" sz="1100" b="0" i="1">
                      <a:latin typeface="Cambria Math" panose="02040503050406030204" pitchFamily="18" charset="0"/>
                    </a:rPr>
                    <m:t>+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2</m:t>
                  </m:r>
                  <m:rad>
                    <m:radPr>
                      <m:degHide m:val="on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ZA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acc>
                            <m:accPr>
                              <m:chr m:val="̅"/>
                              <m:ctrlPr>
                                <a:rPr lang="en-ZA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ZA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𝑢</m:t>
                              </m:r>
                            </m:e>
                          </m:acc>
                        </m:num>
                        <m:den>
                          <m:r>
                            <a:rPr lang="en-ZA" sz="1100" b="0" i="1">
                              <a:latin typeface="Cambria Math" panose="02040503050406030204" pitchFamily="18" charset="0"/>
                            </a:rPr>
                            <m:t>𝑛𝑖</m:t>
                          </m:r>
                        </m:den>
                      </m:f>
                    </m:e>
                  </m:rad>
                </m:oMath>
              </a14:m>
              <a:endParaRPr lang="en-ZA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CD2F55D-5665-4271-A015-CC00EBBC1A25}"/>
                </a:ext>
              </a:extLst>
            </xdr:cNvPr>
            <xdr:cNvSpPr txBox="1"/>
          </xdr:nvSpPr>
          <xdr:spPr>
            <a:xfrm>
              <a:off x="12392029" y="10244038"/>
              <a:ext cx="976486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/>
                <a:t>U</a:t>
              </a:r>
              <a:r>
                <a:rPr lang="en-ZA" sz="1100" b="0" i="0">
                  <a:latin typeface="Cambria Math" panose="02040503050406030204" pitchFamily="18" charset="0"/>
                </a:rPr>
                <a:t>𝐶𝐿=𝑢 ̅+2√(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ZA" sz="1100" b="0" i="0">
                  <a:latin typeface="Cambria Math" panose="02040503050406030204" pitchFamily="18" charset="0"/>
                </a:rPr>
                <a:t>𝑛𝑖)</a:t>
              </a:r>
              <a:endParaRPr lang="en-ZA" sz="1100"/>
            </a:p>
          </xdr:txBody>
        </xdr:sp>
      </mc:Fallback>
    </mc:AlternateContent>
    <xdr:clientData/>
  </xdr:oneCellAnchor>
  <xdr:oneCellAnchor>
    <xdr:from>
      <xdr:col>14</xdr:col>
      <xdr:colOff>184846</xdr:colOff>
      <xdr:row>50</xdr:row>
      <xdr:rowOff>15950</xdr:rowOff>
    </xdr:from>
    <xdr:ext cx="953338" cy="34445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8680D76-CE9A-441B-B172-F64AB776C2A3}"/>
                </a:ext>
              </a:extLst>
            </xdr:cNvPr>
            <xdr:cNvSpPr txBox="1"/>
          </xdr:nvSpPr>
          <xdr:spPr>
            <a:xfrm>
              <a:off x="12391089" y="9751034"/>
              <a:ext cx="95333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+mn-lt"/>
                </a:rPr>
                <a:t>L</a:t>
              </a:r>
              <a14:m>
                <m:oMath xmlns:m="http://schemas.openxmlformats.org/officeDocument/2006/math">
                  <m:r>
                    <a:rPr lang="en-ZA" sz="1100" b="0" i="1">
                      <a:latin typeface="Cambria Math" panose="02040503050406030204" pitchFamily="18" charset="0"/>
                    </a:rPr>
                    <m:t>𝐶𝐿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=</m:t>
                  </m:r>
                  <m:acc>
                    <m:accPr>
                      <m:chr m:val="̅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ZA" sz="1100" b="0" i="1">
                          <a:latin typeface="Cambria Math" panose="02040503050406030204" pitchFamily="18" charset="0"/>
                        </a:rPr>
                        <m:t>𝑢</m:t>
                      </m:r>
                    </m:e>
                  </m:acc>
                  <m:r>
                    <a:rPr lang="en-ZA" sz="1100" b="0" i="1">
                      <a:latin typeface="Cambria Math" panose="02040503050406030204" pitchFamily="18" charset="0"/>
                    </a:rPr>
                    <m:t>−</m:t>
                  </m:r>
                  <m:r>
                    <a:rPr lang="en-ZA" sz="1100" b="0" i="1">
                      <a:latin typeface="Cambria Math" panose="02040503050406030204" pitchFamily="18" charset="0"/>
                    </a:rPr>
                    <m:t>2</m:t>
                  </m:r>
                  <m:rad>
                    <m:radPr>
                      <m:degHide m:val="on"/>
                      <m:ctrlPr>
                        <a:rPr lang="en-ZA" sz="1100" b="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f>
                        <m:fPr>
                          <m:ctrlPr>
                            <a:rPr lang="en-ZA" sz="11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acc>
                            <m:accPr>
                              <m:chr m:val="̅"/>
                              <m:ctrlPr>
                                <a:rPr lang="en-ZA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accPr>
                            <m:e>
                              <m:r>
                                <a:rPr lang="en-ZA" sz="1100" b="0" i="1">
                                  <a:solidFill>
                                    <a:schemeClr val="tx1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𝑢</m:t>
                              </m:r>
                            </m:e>
                          </m:acc>
                        </m:num>
                        <m:den>
                          <m:r>
                            <a:rPr lang="en-ZA" sz="1100" b="0" i="1">
                              <a:latin typeface="Cambria Math" panose="02040503050406030204" pitchFamily="18" charset="0"/>
                            </a:rPr>
                            <m:t>𝑛𝑖</m:t>
                          </m:r>
                        </m:den>
                      </m:f>
                    </m:e>
                  </m:rad>
                </m:oMath>
              </a14:m>
              <a:endParaRPr lang="en-ZA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A8680D76-CE9A-441B-B172-F64AB776C2A3}"/>
                </a:ext>
              </a:extLst>
            </xdr:cNvPr>
            <xdr:cNvSpPr txBox="1"/>
          </xdr:nvSpPr>
          <xdr:spPr>
            <a:xfrm>
              <a:off x="12391089" y="9751034"/>
              <a:ext cx="95333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ZA" sz="1100" b="0" i="0">
                  <a:latin typeface="+mn-lt"/>
                </a:rPr>
                <a:t>L</a:t>
              </a:r>
              <a:r>
                <a:rPr lang="en-ZA" sz="1100" b="0" i="0">
                  <a:latin typeface="Cambria Math" panose="02040503050406030204" pitchFamily="18" charset="0"/>
                </a:rPr>
                <a:t>𝐶𝐿=𝑢 ̅−2√(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𝑢 ̅</a:t>
              </a:r>
              <a:r>
                <a:rPr lang="en-Z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ZA" sz="1100" b="0" i="0">
                  <a:latin typeface="Cambria Math" panose="02040503050406030204" pitchFamily="18" charset="0"/>
                </a:rPr>
                <a:t>𝑛𝑖)</a:t>
              </a:r>
              <a:endParaRPr lang="en-ZA" sz="1100"/>
            </a:p>
          </xdr:txBody>
        </xdr:sp>
      </mc:Fallback>
    </mc:AlternateContent>
    <xdr:clientData/>
  </xdr:oneCellAnchor>
  <xdr:twoCellAnchor>
    <xdr:from>
      <xdr:col>14</xdr:col>
      <xdr:colOff>340704</xdr:colOff>
      <xdr:row>64</xdr:row>
      <xdr:rowOff>5876</xdr:rowOff>
    </xdr:from>
    <xdr:to>
      <xdr:col>21</xdr:col>
      <xdr:colOff>726559</xdr:colOff>
      <xdr:row>80</xdr:row>
      <xdr:rowOff>159489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F2A8CD-79A6-76A3-407C-4AA417F6B7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356925</xdr:colOff>
      <xdr:row>17</xdr:row>
      <xdr:rowOff>55756</xdr:rowOff>
    </xdr:from>
    <xdr:to>
      <xdr:col>21</xdr:col>
      <xdr:colOff>178889</xdr:colOff>
      <xdr:row>32</xdr:row>
      <xdr:rowOff>66527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38596AD-A870-2EEB-D25C-D92337739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A968-31CE-4667-807E-43D53619E834}">
  <dimension ref="A1:J25"/>
  <sheetViews>
    <sheetView zoomScale="45" zoomScaleNormal="130" workbookViewId="0">
      <selection activeCell="H40" sqref="H40"/>
    </sheetView>
  </sheetViews>
  <sheetFormatPr defaultRowHeight="14.4" x14ac:dyDescent="0.3"/>
  <cols>
    <col min="1" max="1" width="13.6640625" bestFit="1" customWidth="1"/>
    <col min="2" max="2" width="10.77734375" bestFit="1" customWidth="1"/>
    <col min="3" max="3" width="12.88671875" customWidth="1"/>
    <col min="4" max="4" width="14" bestFit="1" customWidth="1"/>
    <col min="5" max="5" width="11.77734375" customWidth="1"/>
    <col min="6" max="6" width="16.109375" customWidth="1"/>
    <col min="7" max="7" width="13.21875" customWidth="1"/>
    <col min="8" max="8" width="11" customWidth="1"/>
    <col min="9" max="9" width="11.88671875" customWidth="1"/>
  </cols>
  <sheetData>
    <row r="1" spans="1:10" ht="43.2" x14ac:dyDescent="0.3">
      <c r="A1" s="12" t="s">
        <v>0</v>
      </c>
      <c r="B1" s="12" t="s">
        <v>1</v>
      </c>
      <c r="C1" s="12" t="s">
        <v>4</v>
      </c>
      <c r="D1" s="12" t="s">
        <v>21</v>
      </c>
      <c r="E1" s="12" t="s">
        <v>2</v>
      </c>
      <c r="F1" s="12" t="s">
        <v>19</v>
      </c>
      <c r="G1" s="56" t="s">
        <v>18</v>
      </c>
      <c r="H1" s="56"/>
      <c r="I1" s="56"/>
      <c r="J1" s="1"/>
    </row>
    <row r="2" spans="1:10" ht="37.200000000000003" customHeight="1" x14ac:dyDescent="0.3">
      <c r="A2" s="5">
        <v>1</v>
      </c>
      <c r="B2" s="5">
        <v>5</v>
      </c>
      <c r="C2" s="5">
        <v>1</v>
      </c>
      <c r="D2" s="5" t="s">
        <v>5</v>
      </c>
      <c r="E2" s="5" t="s">
        <v>12</v>
      </c>
      <c r="F2" s="5">
        <v>2</v>
      </c>
      <c r="G2" s="5" t="s">
        <v>5</v>
      </c>
      <c r="H2" s="5" t="s">
        <v>7</v>
      </c>
      <c r="I2" s="5" t="s">
        <v>11</v>
      </c>
    </row>
    <row r="3" spans="1:10" ht="34.200000000000003" customHeight="1" x14ac:dyDescent="0.3">
      <c r="A3" s="3">
        <v>2</v>
      </c>
      <c r="B3" s="3">
        <v>5</v>
      </c>
      <c r="C3" s="3">
        <v>1</v>
      </c>
      <c r="D3" s="3" t="s">
        <v>6</v>
      </c>
      <c r="E3" s="3" t="s">
        <v>12</v>
      </c>
      <c r="F3" s="3">
        <v>2</v>
      </c>
      <c r="G3" s="3" t="s">
        <v>9</v>
      </c>
      <c r="H3" s="3" t="s">
        <v>5</v>
      </c>
      <c r="I3" s="3" t="s">
        <v>11</v>
      </c>
    </row>
    <row r="4" spans="1:10" x14ac:dyDescent="0.3">
      <c r="A4" s="57">
        <v>3</v>
      </c>
      <c r="B4" s="57">
        <v>5</v>
      </c>
      <c r="C4" s="57">
        <v>2</v>
      </c>
      <c r="D4" s="5" t="s">
        <v>10</v>
      </c>
      <c r="E4" s="57" t="s">
        <v>12</v>
      </c>
      <c r="F4" s="57">
        <v>1</v>
      </c>
      <c r="G4" s="57" t="s">
        <v>5</v>
      </c>
      <c r="H4" s="57" t="s">
        <v>11</v>
      </c>
      <c r="I4" s="57" t="s">
        <v>11</v>
      </c>
    </row>
    <row r="5" spans="1:10" ht="15.6" customHeight="1" x14ac:dyDescent="0.3">
      <c r="A5" s="58"/>
      <c r="B5" s="58"/>
      <c r="C5" s="58"/>
      <c r="D5" s="5" t="s">
        <v>6</v>
      </c>
      <c r="E5" s="58"/>
      <c r="F5" s="58"/>
      <c r="G5" s="58"/>
      <c r="H5" s="58"/>
      <c r="I5" s="58"/>
    </row>
    <row r="6" spans="1:10" x14ac:dyDescent="0.3">
      <c r="A6" s="53">
        <v>4</v>
      </c>
      <c r="B6" s="53">
        <v>5</v>
      </c>
      <c r="C6" s="53">
        <v>3</v>
      </c>
      <c r="D6" s="3" t="s">
        <v>5</v>
      </c>
      <c r="E6" s="53" t="s">
        <v>12</v>
      </c>
      <c r="F6" s="53">
        <v>1</v>
      </c>
      <c r="G6" s="53" t="s">
        <v>5</v>
      </c>
      <c r="H6" s="53" t="s">
        <v>11</v>
      </c>
      <c r="I6" s="53" t="s">
        <v>11</v>
      </c>
    </row>
    <row r="7" spans="1:10" x14ac:dyDescent="0.3">
      <c r="A7" s="59"/>
      <c r="B7" s="59"/>
      <c r="C7" s="59"/>
      <c r="D7" s="3" t="s">
        <v>8</v>
      </c>
      <c r="E7" s="59"/>
      <c r="F7" s="59"/>
      <c r="G7" s="59"/>
      <c r="H7" s="59"/>
      <c r="I7" s="59"/>
    </row>
    <row r="8" spans="1:10" x14ac:dyDescent="0.3">
      <c r="A8" s="54"/>
      <c r="B8" s="54"/>
      <c r="C8" s="54"/>
      <c r="D8" s="3" t="s">
        <v>6</v>
      </c>
      <c r="E8" s="54"/>
      <c r="F8" s="54"/>
      <c r="G8" s="54"/>
      <c r="H8" s="54"/>
      <c r="I8" s="54"/>
    </row>
    <row r="9" spans="1:10" ht="30" customHeight="1" x14ac:dyDescent="0.3">
      <c r="A9" s="5">
        <v>5</v>
      </c>
      <c r="B9" s="5">
        <v>5</v>
      </c>
      <c r="C9" s="5">
        <v>0</v>
      </c>
      <c r="D9" s="5" t="s">
        <v>11</v>
      </c>
      <c r="E9" s="5" t="s">
        <v>13</v>
      </c>
      <c r="F9" s="5">
        <v>0</v>
      </c>
      <c r="G9" s="5" t="s">
        <v>11</v>
      </c>
      <c r="H9" s="5" t="s">
        <v>11</v>
      </c>
      <c r="I9" s="5" t="s">
        <v>11</v>
      </c>
    </row>
    <row r="10" spans="1:10" ht="38.4" customHeight="1" x14ac:dyDescent="0.3">
      <c r="A10" s="3">
        <v>6</v>
      </c>
      <c r="B10" s="3">
        <v>5</v>
      </c>
      <c r="C10" s="3">
        <v>1</v>
      </c>
      <c r="D10" s="3" t="s">
        <v>5</v>
      </c>
      <c r="E10" s="3" t="s">
        <v>13</v>
      </c>
      <c r="F10" s="3">
        <v>0</v>
      </c>
      <c r="G10" s="3" t="s">
        <v>11</v>
      </c>
      <c r="H10" s="3" t="s">
        <v>11</v>
      </c>
      <c r="I10" s="3" t="s">
        <v>11</v>
      </c>
    </row>
    <row r="11" spans="1:10" x14ac:dyDescent="0.3">
      <c r="A11" s="57">
        <v>7</v>
      </c>
      <c r="B11" s="57">
        <v>5</v>
      </c>
      <c r="C11" s="57">
        <v>2</v>
      </c>
      <c r="D11" s="5" t="s">
        <v>9</v>
      </c>
      <c r="E11" s="57" t="s">
        <v>12</v>
      </c>
      <c r="F11" s="57">
        <v>1</v>
      </c>
      <c r="G11" s="57" t="s">
        <v>10</v>
      </c>
      <c r="H11" s="57" t="s">
        <v>11</v>
      </c>
      <c r="I11" s="57" t="s">
        <v>11</v>
      </c>
    </row>
    <row r="12" spans="1:10" ht="18.600000000000001" customHeight="1" x14ac:dyDescent="0.3">
      <c r="A12" s="58"/>
      <c r="B12" s="58"/>
      <c r="C12" s="58"/>
      <c r="D12" s="5" t="s">
        <v>10</v>
      </c>
      <c r="E12" s="58"/>
      <c r="F12" s="58"/>
      <c r="G12" s="58"/>
      <c r="H12" s="58"/>
      <c r="I12" s="58"/>
    </row>
    <row r="13" spans="1:10" x14ac:dyDescent="0.3">
      <c r="A13" s="53">
        <v>8</v>
      </c>
      <c r="B13" s="53">
        <v>5</v>
      </c>
      <c r="C13" s="53">
        <v>2</v>
      </c>
      <c r="D13" s="3" t="s">
        <v>10</v>
      </c>
      <c r="E13" s="53" t="s">
        <v>12</v>
      </c>
      <c r="F13" s="53">
        <v>3</v>
      </c>
      <c r="G13" s="53" t="s">
        <v>7</v>
      </c>
      <c r="H13" s="53" t="s">
        <v>10</v>
      </c>
      <c r="I13" s="53" t="s">
        <v>6</v>
      </c>
    </row>
    <row r="14" spans="1:10" ht="19.8" customHeight="1" x14ac:dyDescent="0.3">
      <c r="A14" s="54"/>
      <c r="B14" s="54"/>
      <c r="C14" s="54"/>
      <c r="D14" s="3" t="s">
        <v>5</v>
      </c>
      <c r="E14" s="54"/>
      <c r="F14" s="54"/>
      <c r="G14" s="54"/>
      <c r="H14" s="54"/>
      <c r="I14" s="54"/>
    </row>
    <row r="15" spans="1:10" ht="31.8" customHeight="1" x14ac:dyDescent="0.3">
      <c r="A15" s="5">
        <v>9</v>
      </c>
      <c r="B15" s="5">
        <v>5</v>
      </c>
      <c r="C15" s="5">
        <v>1</v>
      </c>
      <c r="D15" s="5" t="s">
        <v>7</v>
      </c>
      <c r="E15" s="5" t="s">
        <v>12</v>
      </c>
      <c r="F15" s="5">
        <v>2</v>
      </c>
      <c r="G15" s="5" t="s">
        <v>5</v>
      </c>
      <c r="H15" s="5" t="s">
        <v>6</v>
      </c>
      <c r="I15" s="5" t="s">
        <v>11</v>
      </c>
    </row>
    <row r="16" spans="1:10" ht="30" customHeight="1" x14ac:dyDescent="0.3">
      <c r="A16" s="3">
        <v>10</v>
      </c>
      <c r="B16" s="3">
        <v>5</v>
      </c>
      <c r="C16" s="3">
        <v>0</v>
      </c>
      <c r="D16" s="3" t="s">
        <v>11</v>
      </c>
      <c r="E16" s="3" t="s">
        <v>12</v>
      </c>
      <c r="F16" s="3">
        <v>1</v>
      </c>
      <c r="G16" s="3" t="s">
        <v>5</v>
      </c>
      <c r="H16" s="3" t="s">
        <v>11</v>
      </c>
      <c r="I16" s="3" t="s">
        <v>11</v>
      </c>
    </row>
    <row r="17" spans="1:9" ht="29.4" customHeight="1" x14ac:dyDescent="0.3">
      <c r="A17" s="5">
        <v>11</v>
      </c>
      <c r="B17" s="5">
        <v>5</v>
      </c>
      <c r="C17" s="5">
        <v>1</v>
      </c>
      <c r="D17" s="5" t="s">
        <v>6</v>
      </c>
      <c r="E17" s="5" t="s">
        <v>13</v>
      </c>
      <c r="F17" s="5">
        <v>0</v>
      </c>
      <c r="G17" s="5" t="s">
        <v>11</v>
      </c>
      <c r="H17" s="5" t="s">
        <v>11</v>
      </c>
      <c r="I17" s="5" t="s">
        <v>11</v>
      </c>
    </row>
    <row r="18" spans="1:9" x14ac:dyDescent="0.3">
      <c r="A18" s="53">
        <v>12</v>
      </c>
      <c r="B18" s="53">
        <v>5</v>
      </c>
      <c r="C18" s="53">
        <v>2</v>
      </c>
      <c r="D18" s="3" t="s">
        <v>8</v>
      </c>
      <c r="E18" s="53" t="s">
        <v>12</v>
      </c>
      <c r="F18" s="53">
        <v>2</v>
      </c>
      <c r="G18" s="53" t="s">
        <v>5</v>
      </c>
      <c r="H18" s="53" t="s">
        <v>10</v>
      </c>
      <c r="I18" s="53" t="s">
        <v>11</v>
      </c>
    </row>
    <row r="19" spans="1:9" x14ac:dyDescent="0.3">
      <c r="A19" s="54"/>
      <c r="B19" s="54"/>
      <c r="C19" s="54"/>
      <c r="D19" s="3" t="s">
        <v>6</v>
      </c>
      <c r="E19" s="54"/>
      <c r="F19" s="54"/>
      <c r="G19" s="54"/>
      <c r="H19" s="54"/>
      <c r="I19" s="54"/>
    </row>
    <row r="20" spans="1:9" ht="28.8" customHeight="1" x14ac:dyDescent="0.3">
      <c r="A20" s="5">
        <v>13</v>
      </c>
      <c r="B20" s="5">
        <v>5</v>
      </c>
      <c r="C20" s="5">
        <v>0</v>
      </c>
      <c r="D20" s="5" t="s">
        <v>11</v>
      </c>
      <c r="E20" s="5" t="s">
        <v>12</v>
      </c>
      <c r="F20" s="5">
        <v>1</v>
      </c>
      <c r="G20" s="5" t="s">
        <v>9</v>
      </c>
      <c r="H20" s="5" t="s">
        <v>11</v>
      </c>
      <c r="I20" s="5" t="s">
        <v>11</v>
      </c>
    </row>
    <row r="21" spans="1:9" ht="28.8" customHeight="1" x14ac:dyDescent="0.3">
      <c r="A21" s="3">
        <v>14</v>
      </c>
      <c r="B21" s="3">
        <v>5</v>
      </c>
      <c r="C21" s="3">
        <v>0</v>
      </c>
      <c r="D21" s="3" t="s">
        <v>11</v>
      </c>
      <c r="E21" s="3" t="s">
        <v>12</v>
      </c>
      <c r="F21" s="3">
        <v>1</v>
      </c>
      <c r="G21" s="3" t="s">
        <v>9</v>
      </c>
      <c r="H21" s="3" t="s">
        <v>11</v>
      </c>
      <c r="I21" s="3" t="s">
        <v>11</v>
      </c>
    </row>
    <row r="22" spans="1:9" ht="20.399999999999999" customHeight="1" x14ac:dyDescent="0.3">
      <c r="A22" s="55">
        <v>15</v>
      </c>
      <c r="B22" s="55">
        <v>5</v>
      </c>
      <c r="C22" s="55">
        <v>2</v>
      </c>
      <c r="D22" s="5" t="s">
        <v>6</v>
      </c>
      <c r="E22" s="55" t="s">
        <v>12</v>
      </c>
      <c r="F22" s="55">
        <v>2</v>
      </c>
      <c r="G22" s="55" t="s">
        <v>5</v>
      </c>
      <c r="H22" s="55" t="s">
        <v>6</v>
      </c>
      <c r="I22" s="55" t="s">
        <v>11</v>
      </c>
    </row>
    <row r="23" spans="1:9" ht="13.8" customHeight="1" x14ac:dyDescent="0.3">
      <c r="A23" s="55"/>
      <c r="B23" s="55"/>
      <c r="C23" s="55"/>
      <c r="D23" s="5" t="s">
        <v>7</v>
      </c>
      <c r="E23" s="55"/>
      <c r="F23" s="55"/>
      <c r="G23" s="55"/>
      <c r="H23" s="55"/>
      <c r="I23" s="55"/>
    </row>
    <row r="24" spans="1:9" ht="29.4" customHeight="1" x14ac:dyDescent="0.3">
      <c r="A24" s="9" t="s">
        <v>22</v>
      </c>
      <c r="B24" s="9">
        <f>SUM(B2:B23)</f>
        <v>75</v>
      </c>
      <c r="C24" s="9">
        <f>SUM(C2:C23)</f>
        <v>18</v>
      </c>
      <c r="D24" s="9" t="s">
        <v>11</v>
      </c>
      <c r="E24" s="9" t="s">
        <v>11</v>
      </c>
      <c r="F24" s="9">
        <f>SUM(F2:F23)</f>
        <v>19</v>
      </c>
      <c r="G24" s="9" t="s">
        <v>11</v>
      </c>
      <c r="H24" s="9" t="s">
        <v>11</v>
      </c>
      <c r="I24" s="9" t="s">
        <v>11</v>
      </c>
    </row>
    <row r="25" spans="1:9" x14ac:dyDescent="0.3">
      <c r="I25" s="2"/>
    </row>
  </sheetData>
  <mergeCells count="49">
    <mergeCell ref="A4:A5"/>
    <mergeCell ref="B4:B5"/>
    <mergeCell ref="C4:C5"/>
    <mergeCell ref="A6:A8"/>
    <mergeCell ref="B6:B8"/>
    <mergeCell ref="C6:C8"/>
    <mergeCell ref="A11:A12"/>
    <mergeCell ref="B11:B12"/>
    <mergeCell ref="C11:C12"/>
    <mergeCell ref="F22:F23"/>
    <mergeCell ref="A22:A23"/>
    <mergeCell ref="B22:B23"/>
    <mergeCell ref="C22:C23"/>
    <mergeCell ref="E22:E23"/>
    <mergeCell ref="A13:A14"/>
    <mergeCell ref="B13:B14"/>
    <mergeCell ref="C13:C14"/>
    <mergeCell ref="A18:A19"/>
    <mergeCell ref="B18:B19"/>
    <mergeCell ref="C18:C19"/>
    <mergeCell ref="E4:E5"/>
    <mergeCell ref="E6:E8"/>
    <mergeCell ref="E11:E12"/>
    <mergeCell ref="E13:E14"/>
    <mergeCell ref="E18:E19"/>
    <mergeCell ref="F4:F5"/>
    <mergeCell ref="F6:F8"/>
    <mergeCell ref="F11:F12"/>
    <mergeCell ref="F13:F14"/>
    <mergeCell ref="F18:F19"/>
    <mergeCell ref="G13:G14"/>
    <mergeCell ref="H13:H14"/>
    <mergeCell ref="I13:I14"/>
    <mergeCell ref="G1:I1"/>
    <mergeCell ref="I4:I5"/>
    <mergeCell ref="I6:I8"/>
    <mergeCell ref="I11:I12"/>
    <mergeCell ref="G4:G5"/>
    <mergeCell ref="H4:H5"/>
    <mergeCell ref="G6:G8"/>
    <mergeCell ref="H6:H8"/>
    <mergeCell ref="G11:G12"/>
    <mergeCell ref="H11:H12"/>
    <mergeCell ref="G18:G19"/>
    <mergeCell ref="H18:H19"/>
    <mergeCell ref="I18:I19"/>
    <mergeCell ref="G22:G23"/>
    <mergeCell ref="H22:H23"/>
    <mergeCell ref="I22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A79A-41D8-4AD8-8E68-8BDAEB24527F}">
  <dimension ref="A1:BE236"/>
  <sheetViews>
    <sheetView topLeftCell="H41" zoomScale="37" zoomScaleNormal="130" workbookViewId="0">
      <selection activeCell="H223" sqref="H223"/>
    </sheetView>
  </sheetViews>
  <sheetFormatPr defaultRowHeight="14.4" x14ac:dyDescent="0.3"/>
  <cols>
    <col min="2" max="2" width="15.88671875" customWidth="1"/>
    <col min="3" max="3" width="15" customWidth="1"/>
    <col min="4" max="4" width="21" customWidth="1"/>
    <col min="5" max="5" width="11.33203125" customWidth="1"/>
    <col min="6" max="6" width="14" customWidth="1"/>
    <col min="7" max="7" width="16.5546875" customWidth="1"/>
    <col min="8" max="8" width="16.6640625" bestFit="1" customWidth="1"/>
    <col min="9" max="10" width="10.6640625" bestFit="1" customWidth="1"/>
    <col min="14" max="14" width="11.77734375" customWidth="1"/>
    <col min="15" max="15" width="11.44140625" customWidth="1"/>
    <col min="16" max="16" width="13.21875" customWidth="1"/>
    <col min="25" max="25" width="8.88671875" customWidth="1"/>
    <col min="26" max="26" width="9.44140625" bestFit="1" customWidth="1"/>
    <col min="27" max="27" width="10.33203125" bestFit="1" customWidth="1"/>
    <col min="28" max="28" width="11" bestFit="1" customWidth="1"/>
    <col min="29" max="29" width="10" customWidth="1"/>
    <col min="30" max="30" width="14.6640625" customWidth="1"/>
  </cols>
  <sheetData>
    <row r="1" spans="1:57" ht="60.6" customHeight="1" thickBot="1" x14ac:dyDescent="0.35">
      <c r="A1" s="12" t="s">
        <v>0</v>
      </c>
      <c r="B1" s="12" t="s">
        <v>43</v>
      </c>
      <c r="C1" s="14" t="s">
        <v>44</v>
      </c>
      <c r="D1" s="15" t="s">
        <v>46</v>
      </c>
      <c r="E1" s="12" t="s">
        <v>16</v>
      </c>
      <c r="F1" s="12" t="s">
        <v>42</v>
      </c>
      <c r="G1" s="12" t="s">
        <v>45</v>
      </c>
      <c r="H1" s="12" t="s">
        <v>47</v>
      </c>
      <c r="I1" s="75" t="s">
        <v>3</v>
      </c>
      <c r="J1" s="76"/>
      <c r="K1" s="77"/>
      <c r="N1" s="67" t="s">
        <v>40</v>
      </c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5"/>
      <c r="AD1" s="65"/>
      <c r="AE1" s="65"/>
      <c r="AF1" s="65"/>
      <c r="AG1" s="65"/>
      <c r="AH1" s="65"/>
      <c r="AI1" s="65"/>
      <c r="AJ1" s="66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</row>
    <row r="2" spans="1:57" ht="27.6" customHeight="1" x14ac:dyDescent="0.3">
      <c r="A2" s="89">
        <v>1</v>
      </c>
      <c r="B2" s="5">
        <v>5</v>
      </c>
      <c r="C2" s="4">
        <v>1</v>
      </c>
      <c r="D2" s="11">
        <f>C2/B2</f>
        <v>0.2</v>
      </c>
      <c r="E2" s="5" t="s">
        <v>5</v>
      </c>
      <c r="F2" s="5">
        <v>7</v>
      </c>
      <c r="G2" s="5">
        <v>2</v>
      </c>
      <c r="H2" s="39">
        <f>G2/F2</f>
        <v>0.2857142857142857</v>
      </c>
      <c r="I2" s="5" t="s">
        <v>5</v>
      </c>
      <c r="J2" s="5" t="s">
        <v>7</v>
      </c>
      <c r="K2" s="5" t="s">
        <v>11</v>
      </c>
      <c r="M2" s="151" t="s">
        <v>69</v>
      </c>
      <c r="N2" s="21" t="s">
        <v>62</v>
      </c>
      <c r="O2" s="22" t="s">
        <v>24</v>
      </c>
      <c r="P2" s="19" t="s">
        <v>63</v>
      </c>
      <c r="Q2" s="22" t="s">
        <v>25</v>
      </c>
      <c r="R2" s="159" t="s">
        <v>79</v>
      </c>
      <c r="S2" s="159" t="s">
        <v>80</v>
      </c>
      <c r="T2" s="159" t="s">
        <v>81</v>
      </c>
      <c r="U2" s="159" t="s">
        <v>82</v>
      </c>
      <c r="V2" s="23"/>
      <c r="W2" s="131" t="s">
        <v>60</v>
      </c>
      <c r="X2" s="44">
        <v>15</v>
      </c>
      <c r="Y2" s="23"/>
      <c r="Z2" s="23"/>
      <c r="AA2" s="23"/>
      <c r="AB2" s="24"/>
      <c r="AC2" s="161" t="s">
        <v>35</v>
      </c>
      <c r="AD2" s="22" t="s">
        <v>36</v>
      </c>
      <c r="AE2" s="19" t="s">
        <v>37</v>
      </c>
      <c r="AF2" s="22" t="s">
        <v>38</v>
      </c>
      <c r="AG2" s="22" t="s">
        <v>39</v>
      </c>
      <c r="AH2" s="23"/>
      <c r="AI2" s="23"/>
      <c r="AJ2" s="24"/>
    </row>
    <row r="3" spans="1:57" ht="32.4" customHeight="1" x14ac:dyDescent="0.3">
      <c r="A3" s="90">
        <v>2</v>
      </c>
      <c r="B3" s="3">
        <v>5</v>
      </c>
      <c r="C3" s="3">
        <v>1</v>
      </c>
      <c r="D3" s="8">
        <f>C3/B3</f>
        <v>0.2</v>
      </c>
      <c r="E3" s="3" t="s">
        <v>6</v>
      </c>
      <c r="F3" s="3">
        <v>7</v>
      </c>
      <c r="G3" s="3">
        <v>2</v>
      </c>
      <c r="H3" s="39">
        <f>G3/F3</f>
        <v>0.2857142857142857</v>
      </c>
      <c r="I3" s="3" t="s">
        <v>9</v>
      </c>
      <c r="J3" s="3" t="s">
        <v>5</v>
      </c>
      <c r="K3" s="3" t="s">
        <v>11</v>
      </c>
      <c r="M3" s="133"/>
      <c r="N3" s="132">
        <f>C2</f>
        <v>1</v>
      </c>
      <c r="O3" s="4">
        <f t="shared" ref="O3:O17" si="0">$X$6</f>
        <v>0</v>
      </c>
      <c r="P3" s="18">
        <f t="shared" ref="P3:P17" si="1">$X$7</f>
        <v>1.2</v>
      </c>
      <c r="Q3" s="18">
        <f t="shared" ref="Q3:Q17" si="2">$X$8</f>
        <v>3.3908902300206645</v>
      </c>
      <c r="R3" s="5">
        <f>$X$9</f>
        <v>2.6569420029637421</v>
      </c>
      <c r="S3" s="5">
        <f>$X$10</f>
        <v>0</v>
      </c>
      <c r="T3" s="42">
        <f>$X$11</f>
        <v>1.9339482270569226</v>
      </c>
      <c r="U3" s="5">
        <f>$X$12</f>
        <v>0.46605177294307742</v>
      </c>
      <c r="V3" s="111"/>
      <c r="W3" s="115" t="s">
        <v>27</v>
      </c>
      <c r="X3" s="116">
        <v>5</v>
      </c>
      <c r="Y3" s="111"/>
      <c r="Z3" s="111"/>
      <c r="AA3" s="111"/>
      <c r="AB3" s="25"/>
      <c r="AC3" s="35" t="s">
        <v>6</v>
      </c>
      <c r="AD3" s="3">
        <f>COUNTIF($E$2:$E$23,"Orange")</f>
        <v>6</v>
      </c>
      <c r="AE3" s="32">
        <f>AD3/$AD$10</f>
        <v>0.35294117647058826</v>
      </c>
      <c r="AF3" s="33">
        <f>AE3</f>
        <v>0.35294117647058826</v>
      </c>
      <c r="AG3" s="33">
        <v>0.8</v>
      </c>
      <c r="AH3" s="111"/>
      <c r="AI3" s="111"/>
      <c r="AJ3" s="25"/>
    </row>
    <row r="4" spans="1:57" x14ac:dyDescent="0.3">
      <c r="A4" s="91">
        <v>3</v>
      </c>
      <c r="B4" s="57">
        <v>5</v>
      </c>
      <c r="C4" s="80">
        <v>2</v>
      </c>
      <c r="D4" s="78">
        <f>C4/B4</f>
        <v>0.4</v>
      </c>
      <c r="E4" s="5" t="s">
        <v>10</v>
      </c>
      <c r="F4" s="57">
        <v>7</v>
      </c>
      <c r="G4" s="57">
        <v>1</v>
      </c>
      <c r="H4" s="73">
        <f>G4/F4</f>
        <v>0.14285714285714285</v>
      </c>
      <c r="I4" s="55" t="s">
        <v>5</v>
      </c>
      <c r="J4" s="57" t="s">
        <v>11</v>
      </c>
      <c r="K4" s="57" t="s">
        <v>11</v>
      </c>
      <c r="M4" s="133"/>
      <c r="N4" s="132">
        <f>C3</f>
        <v>1</v>
      </c>
      <c r="O4" s="4">
        <f t="shared" si="0"/>
        <v>0</v>
      </c>
      <c r="P4" s="18">
        <f t="shared" si="1"/>
        <v>1.2</v>
      </c>
      <c r="Q4" s="18">
        <f t="shared" si="2"/>
        <v>3.3908902300206645</v>
      </c>
      <c r="R4" s="5">
        <f t="shared" ref="R4:R17" si="3">$X$9</f>
        <v>2.6569420029637421</v>
      </c>
      <c r="S4" s="5">
        <f t="shared" ref="S4:S17" si="4">$X$10</f>
        <v>0</v>
      </c>
      <c r="T4" s="42">
        <f t="shared" ref="T4:T17" si="5">$X$11</f>
        <v>1.9339482270569226</v>
      </c>
      <c r="U4" s="5">
        <f t="shared" ref="U4:U17" si="6">$X$12</f>
        <v>0.46605177294307742</v>
      </c>
      <c r="V4" s="111"/>
      <c r="W4" s="115" t="s">
        <v>61</v>
      </c>
      <c r="X4" s="154">
        <f>N18/X2</f>
        <v>1.2</v>
      </c>
      <c r="Y4" s="111"/>
      <c r="Z4" s="111"/>
      <c r="AA4" s="111"/>
      <c r="AB4" s="25"/>
      <c r="AC4" s="35" t="s">
        <v>5</v>
      </c>
      <c r="AD4" s="3">
        <f>COUNTIF($E$2:$E$23,"Dark blue")</f>
        <v>4</v>
      </c>
      <c r="AE4" s="32">
        <f>AD4/$AD$10</f>
        <v>0.23529411764705882</v>
      </c>
      <c r="AF4" s="33">
        <f t="shared" ref="AF4:AF9" si="7">AF3+AE4</f>
        <v>0.58823529411764708</v>
      </c>
      <c r="AG4" s="33">
        <v>0.8</v>
      </c>
      <c r="AH4" s="111"/>
      <c r="AI4" s="111"/>
      <c r="AJ4" s="25"/>
    </row>
    <row r="5" spans="1:57" x14ac:dyDescent="0.3">
      <c r="A5" s="92"/>
      <c r="B5" s="58"/>
      <c r="C5" s="80"/>
      <c r="D5" s="78"/>
      <c r="E5" s="5" t="s">
        <v>6</v>
      </c>
      <c r="F5" s="58"/>
      <c r="G5" s="58"/>
      <c r="H5" s="73"/>
      <c r="I5" s="55"/>
      <c r="J5" s="58"/>
      <c r="K5" s="58"/>
      <c r="M5" s="133"/>
      <c r="N5" s="132">
        <f>C4</f>
        <v>2</v>
      </c>
      <c r="O5" s="4">
        <f t="shared" si="0"/>
        <v>0</v>
      </c>
      <c r="P5" s="18">
        <f t="shared" si="1"/>
        <v>1.2</v>
      </c>
      <c r="Q5" s="18">
        <f t="shared" si="2"/>
        <v>3.3908902300206645</v>
      </c>
      <c r="R5" s="5">
        <f t="shared" si="3"/>
        <v>2.6569420029637421</v>
      </c>
      <c r="S5" s="5">
        <f t="shared" si="4"/>
        <v>0</v>
      </c>
      <c r="T5" s="42">
        <f t="shared" si="5"/>
        <v>1.9339482270569226</v>
      </c>
      <c r="U5" s="5">
        <f t="shared" si="6"/>
        <v>0.46605177294307742</v>
      </c>
      <c r="V5" s="111"/>
      <c r="W5" s="111"/>
      <c r="X5" s="111"/>
      <c r="Y5" s="111"/>
      <c r="Z5" s="111"/>
      <c r="AA5" s="111"/>
      <c r="AB5" s="25"/>
      <c r="AC5" s="35" t="s">
        <v>10</v>
      </c>
      <c r="AD5" s="3">
        <f>COUNTIF($E$2:$E$23,"White")</f>
        <v>3</v>
      </c>
      <c r="AE5" s="32">
        <f>AD5/$AD$10</f>
        <v>0.17647058823529413</v>
      </c>
      <c r="AF5" s="33">
        <f t="shared" si="7"/>
        <v>0.76470588235294124</v>
      </c>
      <c r="AG5" s="33">
        <v>0.8</v>
      </c>
      <c r="AH5" s="111"/>
      <c r="AI5" s="111"/>
      <c r="AJ5" s="25"/>
    </row>
    <row r="6" spans="1:57" x14ac:dyDescent="0.3">
      <c r="A6" s="93">
        <v>4</v>
      </c>
      <c r="B6" s="53">
        <v>5</v>
      </c>
      <c r="C6" s="74">
        <v>3</v>
      </c>
      <c r="D6" s="79">
        <f>C6/B6</f>
        <v>0.6</v>
      </c>
      <c r="E6" s="3" t="s">
        <v>5</v>
      </c>
      <c r="F6" s="53">
        <v>7</v>
      </c>
      <c r="G6" s="53">
        <v>1</v>
      </c>
      <c r="H6" s="73">
        <f>G6/F6</f>
        <v>0.14285714285714285</v>
      </c>
      <c r="I6" s="74" t="s">
        <v>5</v>
      </c>
      <c r="J6" s="53" t="s">
        <v>11</v>
      </c>
      <c r="K6" s="60" t="s">
        <v>11</v>
      </c>
      <c r="M6" s="133"/>
      <c r="N6" s="132">
        <f>C6</f>
        <v>3</v>
      </c>
      <c r="O6" s="4">
        <f t="shared" si="0"/>
        <v>0</v>
      </c>
      <c r="P6" s="18">
        <f t="shared" si="1"/>
        <v>1.2</v>
      </c>
      <c r="Q6" s="18">
        <f t="shared" si="2"/>
        <v>3.3908902300206645</v>
      </c>
      <c r="R6" s="5">
        <f t="shared" si="3"/>
        <v>2.6569420029637421</v>
      </c>
      <c r="S6" s="5">
        <f t="shared" si="4"/>
        <v>0</v>
      </c>
      <c r="T6" s="42">
        <f t="shared" si="5"/>
        <v>1.9339482270569226</v>
      </c>
      <c r="U6" s="5">
        <f t="shared" si="6"/>
        <v>0.46605177294307742</v>
      </c>
      <c r="V6" s="111"/>
      <c r="W6" s="115" t="s">
        <v>28</v>
      </c>
      <c r="X6" s="116">
        <f>IF(Y6&lt;0,0,Y6)</f>
        <v>0</v>
      </c>
      <c r="Y6" s="145">
        <f>X4-2*SQRT(X4)</f>
        <v>-0.99089023002066434</v>
      </c>
      <c r="Z6" s="111"/>
      <c r="AA6" s="111"/>
      <c r="AB6" s="25"/>
      <c r="AC6" s="35" t="s">
        <v>8</v>
      </c>
      <c r="AD6" s="3">
        <f>COUNTIF($E$2:$E$23,"Red")</f>
        <v>2</v>
      </c>
      <c r="AE6" s="32">
        <f>AD6/$AD$10</f>
        <v>0.11764705882352941</v>
      </c>
      <c r="AF6" s="33">
        <f t="shared" si="7"/>
        <v>0.88235294117647067</v>
      </c>
      <c r="AG6" s="33">
        <v>0.8</v>
      </c>
      <c r="AH6" s="111"/>
      <c r="AI6" s="111"/>
      <c r="AJ6" s="25"/>
    </row>
    <row r="7" spans="1:57" x14ac:dyDescent="0.3">
      <c r="A7" s="94"/>
      <c r="B7" s="59"/>
      <c r="C7" s="74"/>
      <c r="D7" s="79"/>
      <c r="E7" s="3" t="s">
        <v>8</v>
      </c>
      <c r="F7" s="59"/>
      <c r="G7" s="59"/>
      <c r="H7" s="73"/>
      <c r="I7" s="74"/>
      <c r="J7" s="59"/>
      <c r="K7" s="61"/>
      <c r="M7" s="133"/>
      <c r="N7" s="132">
        <f>C9</f>
        <v>0</v>
      </c>
      <c r="O7" s="4">
        <f t="shared" si="0"/>
        <v>0</v>
      </c>
      <c r="P7" s="18">
        <f t="shared" si="1"/>
        <v>1.2</v>
      </c>
      <c r="Q7" s="18">
        <f t="shared" si="2"/>
        <v>3.3908902300206645</v>
      </c>
      <c r="R7" s="5">
        <f t="shared" si="3"/>
        <v>2.6569420029637421</v>
      </c>
      <c r="S7" s="5">
        <f t="shared" si="4"/>
        <v>0</v>
      </c>
      <c r="T7" s="42">
        <f t="shared" si="5"/>
        <v>1.9339482270569226</v>
      </c>
      <c r="U7" s="5">
        <f t="shared" si="6"/>
        <v>0.46605177294307742</v>
      </c>
      <c r="V7" s="111"/>
      <c r="W7" s="115" t="s">
        <v>29</v>
      </c>
      <c r="X7" s="154">
        <f>X4</f>
        <v>1.2</v>
      </c>
      <c r="Y7" s="111"/>
      <c r="Z7" s="111"/>
      <c r="AA7" s="111"/>
      <c r="AB7" s="25"/>
      <c r="AC7" s="35" t="s">
        <v>7</v>
      </c>
      <c r="AD7" s="3">
        <f>COUNTIF($E$2:$E$23,"Yellow")</f>
        <v>2</v>
      </c>
      <c r="AE7" s="32">
        <f>AD7/$AD$10</f>
        <v>0.11764705882352941</v>
      </c>
      <c r="AF7" s="33">
        <f t="shared" si="7"/>
        <v>1</v>
      </c>
      <c r="AG7" s="33">
        <v>0.8</v>
      </c>
      <c r="AH7" s="111"/>
      <c r="AI7" s="111"/>
      <c r="AJ7" s="25"/>
    </row>
    <row r="8" spans="1:57" x14ac:dyDescent="0.3">
      <c r="A8" s="95"/>
      <c r="B8" s="54"/>
      <c r="C8" s="74"/>
      <c r="D8" s="79"/>
      <c r="E8" s="3" t="s">
        <v>6</v>
      </c>
      <c r="F8" s="54"/>
      <c r="G8" s="54"/>
      <c r="H8" s="73"/>
      <c r="I8" s="74"/>
      <c r="J8" s="54"/>
      <c r="K8" s="62"/>
      <c r="M8" s="133"/>
      <c r="N8" s="132">
        <f>C10</f>
        <v>1</v>
      </c>
      <c r="O8" s="4">
        <f t="shared" si="0"/>
        <v>0</v>
      </c>
      <c r="P8" s="18">
        <f t="shared" si="1"/>
        <v>1.2</v>
      </c>
      <c r="Q8" s="18">
        <f t="shared" si="2"/>
        <v>3.3908902300206645</v>
      </c>
      <c r="R8" s="5">
        <f t="shared" si="3"/>
        <v>2.6569420029637421</v>
      </c>
      <c r="S8" s="5">
        <f t="shared" si="4"/>
        <v>0</v>
      </c>
      <c r="T8" s="42">
        <f t="shared" si="5"/>
        <v>1.9339482270569226</v>
      </c>
      <c r="U8" s="5">
        <f t="shared" si="6"/>
        <v>0.46605177294307742</v>
      </c>
      <c r="V8" s="111"/>
      <c r="W8" s="115" t="s">
        <v>30</v>
      </c>
      <c r="X8" s="118">
        <f>X4+2*SQRT(X4)</f>
        <v>3.3908902300206645</v>
      </c>
      <c r="Y8" s="111"/>
      <c r="Z8" s="111"/>
      <c r="AA8" s="111"/>
      <c r="AB8" s="25"/>
      <c r="AC8" s="35" t="s">
        <v>33</v>
      </c>
      <c r="AD8" s="3">
        <f>COUNTIF($E$2:$E$23,"Light blue")</f>
        <v>0</v>
      </c>
      <c r="AE8" s="32">
        <f>AD8/$AD$10</f>
        <v>0</v>
      </c>
      <c r="AF8" s="33">
        <f t="shared" si="7"/>
        <v>1</v>
      </c>
      <c r="AG8" s="33">
        <v>0.8</v>
      </c>
      <c r="AH8" s="111"/>
      <c r="AI8" s="111"/>
      <c r="AJ8" s="25"/>
    </row>
    <row r="9" spans="1:57" ht="29.4" customHeight="1" x14ac:dyDescent="0.3">
      <c r="A9" s="96">
        <v>5</v>
      </c>
      <c r="B9" s="5">
        <v>5</v>
      </c>
      <c r="C9" s="5">
        <v>0</v>
      </c>
      <c r="D9" s="11">
        <f>C9/B9</f>
        <v>0</v>
      </c>
      <c r="E9" s="5" t="s">
        <v>11</v>
      </c>
      <c r="F9" s="5">
        <v>7</v>
      </c>
      <c r="G9" s="5">
        <v>0</v>
      </c>
      <c r="H9" s="39">
        <f>G9/F9</f>
        <v>0</v>
      </c>
      <c r="I9" s="5" t="s">
        <v>11</v>
      </c>
      <c r="J9" s="5" t="s">
        <v>11</v>
      </c>
      <c r="K9" s="5" t="s">
        <v>11</v>
      </c>
      <c r="M9" s="133"/>
      <c r="N9" s="132">
        <f>C11</f>
        <v>2</v>
      </c>
      <c r="O9" s="4">
        <f t="shared" si="0"/>
        <v>0</v>
      </c>
      <c r="P9" s="18">
        <f t="shared" si="1"/>
        <v>1.2</v>
      </c>
      <c r="Q9" s="18">
        <f t="shared" si="2"/>
        <v>3.3908902300206645</v>
      </c>
      <c r="R9" s="5">
        <f t="shared" si="3"/>
        <v>2.6569420029637421</v>
      </c>
      <c r="S9" s="5">
        <f t="shared" si="4"/>
        <v>0</v>
      </c>
      <c r="T9" s="42">
        <f t="shared" si="5"/>
        <v>1.9339482270569226</v>
      </c>
      <c r="U9" s="5">
        <f t="shared" si="6"/>
        <v>0.46605177294307742</v>
      </c>
      <c r="V9" s="111"/>
      <c r="W9" s="158" t="s">
        <v>79</v>
      </c>
      <c r="X9" s="116">
        <f>X4+1.33*SQRT(X4)</f>
        <v>2.6569420029637421</v>
      </c>
      <c r="Y9" s="111"/>
      <c r="Z9" s="111"/>
      <c r="AA9" s="111"/>
      <c r="AB9" s="25"/>
      <c r="AC9" s="35" t="s">
        <v>34</v>
      </c>
      <c r="AD9" s="3">
        <f>COUNTIF($E$2:$E$23,"Green")</f>
        <v>0</v>
      </c>
      <c r="AE9" s="32">
        <f>AD9/$AD$10</f>
        <v>0</v>
      </c>
      <c r="AF9" s="33">
        <f t="shared" si="7"/>
        <v>1</v>
      </c>
      <c r="AG9" s="33">
        <v>0.8</v>
      </c>
      <c r="AH9" s="111"/>
      <c r="AI9" s="111"/>
      <c r="AJ9" s="25"/>
    </row>
    <row r="10" spans="1:57" ht="28.2" customHeight="1" x14ac:dyDescent="0.3">
      <c r="A10" s="97">
        <v>6</v>
      </c>
      <c r="B10" s="3">
        <v>5</v>
      </c>
      <c r="C10" s="3">
        <v>1</v>
      </c>
      <c r="D10" s="8">
        <f>C10/B10</f>
        <v>0.2</v>
      </c>
      <c r="E10" s="3" t="s">
        <v>5</v>
      </c>
      <c r="F10" s="3">
        <v>7</v>
      </c>
      <c r="G10" s="3">
        <v>0</v>
      </c>
      <c r="H10" s="39">
        <f>G10/F10</f>
        <v>0</v>
      </c>
      <c r="I10" s="3" t="s">
        <v>11</v>
      </c>
      <c r="J10" s="3" t="s">
        <v>11</v>
      </c>
      <c r="K10" s="3" t="s">
        <v>11</v>
      </c>
      <c r="M10" s="133"/>
      <c r="N10" s="132">
        <f>C13</f>
        <v>2</v>
      </c>
      <c r="O10" s="4">
        <f t="shared" si="0"/>
        <v>0</v>
      </c>
      <c r="P10" s="18">
        <f t="shared" si="1"/>
        <v>1.2</v>
      </c>
      <c r="Q10" s="18">
        <f t="shared" si="2"/>
        <v>3.3908902300206645</v>
      </c>
      <c r="R10" s="5">
        <f t="shared" si="3"/>
        <v>2.6569420029637421</v>
      </c>
      <c r="S10" s="5">
        <f t="shared" si="4"/>
        <v>0</v>
      </c>
      <c r="T10" s="42">
        <f t="shared" si="5"/>
        <v>1.9339482270569226</v>
      </c>
      <c r="U10" s="5">
        <f t="shared" si="6"/>
        <v>0.46605177294307742</v>
      </c>
      <c r="V10" s="111"/>
      <c r="W10" s="158" t="s">
        <v>80</v>
      </c>
      <c r="X10" s="116">
        <f>IF(X4-1.33*SQRT(X4)&lt;0,0,X4-1.33*SQRT(X4))</f>
        <v>0</v>
      </c>
      <c r="Y10" s="111"/>
      <c r="Z10" s="111"/>
      <c r="AA10" s="111"/>
      <c r="AB10" s="25"/>
      <c r="AC10" s="36" t="s">
        <v>22</v>
      </c>
      <c r="AD10" s="3">
        <f>SUM(AD3:AD9)</f>
        <v>17</v>
      </c>
      <c r="AE10" s="33">
        <f>SUM(AE3:AE9)</f>
        <v>1</v>
      </c>
      <c r="AF10" s="111"/>
      <c r="AG10" s="111"/>
      <c r="AH10" s="111"/>
      <c r="AI10" s="111"/>
      <c r="AJ10" s="25"/>
    </row>
    <row r="11" spans="1:57" ht="22.2" customHeight="1" x14ac:dyDescent="0.3">
      <c r="A11" s="98">
        <v>7</v>
      </c>
      <c r="B11" s="57">
        <v>5</v>
      </c>
      <c r="C11" s="55">
        <v>2</v>
      </c>
      <c r="D11" s="78">
        <f>C11/B11</f>
        <v>0.4</v>
      </c>
      <c r="E11" s="5" t="s">
        <v>9</v>
      </c>
      <c r="F11" s="57">
        <v>7</v>
      </c>
      <c r="G11" s="57">
        <v>1</v>
      </c>
      <c r="H11" s="73">
        <f>G11/F11</f>
        <v>0.14285714285714285</v>
      </c>
      <c r="I11" s="55" t="s">
        <v>10</v>
      </c>
      <c r="J11" s="57" t="s">
        <v>11</v>
      </c>
      <c r="K11" s="57" t="s">
        <v>11</v>
      </c>
      <c r="M11" s="133"/>
      <c r="N11" s="132">
        <f>C15</f>
        <v>1</v>
      </c>
      <c r="O11" s="4">
        <f t="shared" si="0"/>
        <v>0</v>
      </c>
      <c r="P11" s="18">
        <f t="shared" si="1"/>
        <v>1.2</v>
      </c>
      <c r="Q11" s="18">
        <f t="shared" si="2"/>
        <v>3.3908902300206645</v>
      </c>
      <c r="R11" s="5">
        <f t="shared" si="3"/>
        <v>2.6569420029637421</v>
      </c>
      <c r="S11" s="5">
        <f t="shared" si="4"/>
        <v>0</v>
      </c>
      <c r="T11" s="42">
        <f t="shared" si="5"/>
        <v>1.9339482270569226</v>
      </c>
      <c r="U11" s="5">
        <f t="shared" si="6"/>
        <v>0.46605177294307742</v>
      </c>
      <c r="V11" s="111"/>
      <c r="W11" s="158" t="s">
        <v>81</v>
      </c>
      <c r="X11" s="116">
        <f>X4+0.67*SQRT(X4)</f>
        <v>1.9339482270569226</v>
      </c>
      <c r="Y11" s="111"/>
      <c r="Z11" s="111"/>
      <c r="AA11" s="111"/>
      <c r="AB11" s="25"/>
      <c r="AC11" s="37"/>
      <c r="AD11" s="111"/>
      <c r="AE11" s="111"/>
      <c r="AF11" s="111"/>
      <c r="AG11" s="111"/>
      <c r="AH11" s="111"/>
      <c r="AI11" s="111"/>
      <c r="AJ11" s="25"/>
    </row>
    <row r="12" spans="1:57" x14ac:dyDescent="0.3">
      <c r="A12" s="99"/>
      <c r="B12" s="58"/>
      <c r="C12" s="55"/>
      <c r="D12" s="78"/>
      <c r="E12" s="5" t="s">
        <v>10</v>
      </c>
      <c r="F12" s="58"/>
      <c r="G12" s="58"/>
      <c r="H12" s="73"/>
      <c r="I12" s="55"/>
      <c r="J12" s="58"/>
      <c r="K12" s="58"/>
      <c r="M12" s="133"/>
      <c r="N12" s="132">
        <f>C16</f>
        <v>0</v>
      </c>
      <c r="O12" s="4">
        <f t="shared" si="0"/>
        <v>0</v>
      </c>
      <c r="P12" s="18">
        <f t="shared" si="1"/>
        <v>1.2</v>
      </c>
      <c r="Q12" s="18">
        <f t="shared" si="2"/>
        <v>3.3908902300206645</v>
      </c>
      <c r="R12" s="5">
        <f t="shared" si="3"/>
        <v>2.6569420029637421</v>
      </c>
      <c r="S12" s="5">
        <f t="shared" si="4"/>
        <v>0</v>
      </c>
      <c r="T12" s="42">
        <f t="shared" si="5"/>
        <v>1.9339482270569226</v>
      </c>
      <c r="U12" s="5">
        <f t="shared" si="6"/>
        <v>0.46605177294307742</v>
      </c>
      <c r="V12" s="111"/>
      <c r="W12" s="158" t="s">
        <v>82</v>
      </c>
      <c r="X12" s="116">
        <f>X4-0.67*SQRT(X4)</f>
        <v>0.46605177294307742</v>
      </c>
      <c r="Y12" s="111"/>
      <c r="Z12" s="111"/>
      <c r="AA12" s="111"/>
      <c r="AB12" s="25"/>
      <c r="AC12" s="37"/>
      <c r="AD12" s="111"/>
      <c r="AE12" s="111"/>
      <c r="AF12" s="111"/>
      <c r="AG12" s="111"/>
      <c r="AH12" s="111"/>
      <c r="AI12" s="111"/>
      <c r="AJ12" s="25"/>
    </row>
    <row r="13" spans="1:57" x14ac:dyDescent="0.3">
      <c r="A13" s="100">
        <v>8</v>
      </c>
      <c r="B13" s="53">
        <v>5</v>
      </c>
      <c r="C13" s="74">
        <v>2</v>
      </c>
      <c r="D13" s="79">
        <f>C13/B13</f>
        <v>0.4</v>
      </c>
      <c r="E13" s="3" t="s">
        <v>10</v>
      </c>
      <c r="F13" s="53">
        <v>7</v>
      </c>
      <c r="G13" s="53">
        <v>3</v>
      </c>
      <c r="H13" s="73">
        <f>G13/F13</f>
        <v>0.42857142857142855</v>
      </c>
      <c r="I13" s="74" t="s">
        <v>7</v>
      </c>
      <c r="J13" s="53" t="s">
        <v>10</v>
      </c>
      <c r="K13" s="53" t="s">
        <v>6</v>
      </c>
      <c r="M13" s="133"/>
      <c r="N13" s="132">
        <f>C17</f>
        <v>1</v>
      </c>
      <c r="O13" s="4">
        <f t="shared" si="0"/>
        <v>0</v>
      </c>
      <c r="P13" s="18">
        <f t="shared" si="1"/>
        <v>1.2</v>
      </c>
      <c r="Q13" s="18">
        <f t="shared" si="2"/>
        <v>3.3908902300206645</v>
      </c>
      <c r="R13" s="5">
        <f t="shared" si="3"/>
        <v>2.6569420029637421</v>
      </c>
      <c r="S13" s="5">
        <f t="shared" si="4"/>
        <v>0</v>
      </c>
      <c r="T13" s="42">
        <f t="shared" si="5"/>
        <v>1.9339482270569226</v>
      </c>
      <c r="U13" s="5">
        <f t="shared" si="6"/>
        <v>0.46605177294307742</v>
      </c>
      <c r="V13" s="111"/>
      <c r="W13" s="111"/>
      <c r="X13" s="111"/>
      <c r="Y13" s="111"/>
      <c r="Z13" s="111"/>
      <c r="AA13" s="111"/>
      <c r="AB13" s="25"/>
      <c r="AC13" s="37"/>
      <c r="AD13" s="111"/>
      <c r="AE13" s="111"/>
      <c r="AF13" s="111"/>
      <c r="AG13" s="111"/>
      <c r="AH13" s="111"/>
      <c r="AI13" s="111"/>
      <c r="AJ13" s="25"/>
    </row>
    <row r="14" spans="1:57" x14ac:dyDescent="0.3">
      <c r="A14" s="101"/>
      <c r="B14" s="54"/>
      <c r="C14" s="74"/>
      <c r="D14" s="79"/>
      <c r="E14" s="3" t="s">
        <v>5</v>
      </c>
      <c r="F14" s="54"/>
      <c r="G14" s="54"/>
      <c r="H14" s="73"/>
      <c r="I14" s="74"/>
      <c r="J14" s="54"/>
      <c r="K14" s="54"/>
      <c r="M14" s="133"/>
      <c r="N14" s="132">
        <f>C18</f>
        <v>2</v>
      </c>
      <c r="O14" s="4">
        <f t="shared" si="0"/>
        <v>0</v>
      </c>
      <c r="P14" s="18">
        <f t="shared" si="1"/>
        <v>1.2</v>
      </c>
      <c r="Q14" s="18">
        <f t="shared" si="2"/>
        <v>3.3908902300206645</v>
      </c>
      <c r="R14" s="5">
        <f t="shared" si="3"/>
        <v>2.6569420029637421</v>
      </c>
      <c r="S14" s="5">
        <f t="shared" si="4"/>
        <v>0</v>
      </c>
      <c r="T14" s="42">
        <f t="shared" si="5"/>
        <v>1.9339482270569226</v>
      </c>
      <c r="U14" s="5">
        <f t="shared" si="6"/>
        <v>0.46605177294307742</v>
      </c>
      <c r="V14" s="111"/>
      <c r="W14" s="111"/>
      <c r="X14" s="111"/>
      <c r="Y14" s="111"/>
      <c r="Z14" s="111"/>
      <c r="AA14" s="111"/>
      <c r="AB14" s="25"/>
      <c r="AC14" s="37"/>
      <c r="AD14" s="111"/>
      <c r="AE14" s="111"/>
      <c r="AF14" s="111"/>
      <c r="AG14" s="111"/>
      <c r="AH14" s="111"/>
      <c r="AI14" s="111"/>
      <c r="AJ14" s="25"/>
    </row>
    <row r="15" spans="1:57" ht="26.4" customHeight="1" x14ac:dyDescent="0.3">
      <c r="A15" s="102">
        <v>9</v>
      </c>
      <c r="B15" s="5">
        <v>5</v>
      </c>
      <c r="C15" s="5">
        <v>1</v>
      </c>
      <c r="D15" s="11">
        <f>C15/B15</f>
        <v>0.2</v>
      </c>
      <c r="E15" s="5" t="s">
        <v>7</v>
      </c>
      <c r="F15" s="5">
        <v>7</v>
      </c>
      <c r="G15" s="5">
        <v>2</v>
      </c>
      <c r="H15" s="39">
        <f>G15/F15</f>
        <v>0.2857142857142857</v>
      </c>
      <c r="I15" s="5" t="s">
        <v>5</v>
      </c>
      <c r="J15" s="5" t="s">
        <v>6</v>
      </c>
      <c r="K15" s="5" t="s">
        <v>11</v>
      </c>
      <c r="M15" s="133"/>
      <c r="N15" s="132">
        <f>C20</f>
        <v>0</v>
      </c>
      <c r="O15" s="4">
        <f t="shared" si="0"/>
        <v>0</v>
      </c>
      <c r="P15" s="18">
        <f t="shared" si="1"/>
        <v>1.2</v>
      </c>
      <c r="Q15" s="18">
        <f t="shared" si="2"/>
        <v>3.3908902300206645</v>
      </c>
      <c r="R15" s="5">
        <f t="shared" si="3"/>
        <v>2.6569420029637421</v>
      </c>
      <c r="S15" s="5">
        <f t="shared" si="4"/>
        <v>0</v>
      </c>
      <c r="T15" s="42">
        <f t="shared" si="5"/>
        <v>1.9339482270569226</v>
      </c>
      <c r="U15" s="5">
        <f t="shared" si="6"/>
        <v>0.46605177294307742</v>
      </c>
      <c r="V15" s="111"/>
      <c r="W15" s="111"/>
      <c r="X15" s="111"/>
      <c r="Y15" s="111"/>
      <c r="Z15" s="111"/>
      <c r="AA15" s="111"/>
      <c r="AB15" s="25"/>
      <c r="AC15" s="37"/>
      <c r="AD15" s="111"/>
      <c r="AE15" s="111"/>
      <c r="AF15" s="111"/>
      <c r="AG15" s="111"/>
      <c r="AH15" s="111"/>
      <c r="AI15" s="111"/>
      <c r="AJ15" s="25"/>
    </row>
    <row r="16" spans="1:57" ht="26.4" customHeight="1" x14ac:dyDescent="0.3">
      <c r="A16" s="103">
        <v>10</v>
      </c>
      <c r="B16" s="3">
        <v>5</v>
      </c>
      <c r="C16" s="3">
        <v>0</v>
      </c>
      <c r="D16" s="8">
        <f>C16/B16</f>
        <v>0</v>
      </c>
      <c r="E16" s="3" t="s">
        <v>11</v>
      </c>
      <c r="F16" s="3">
        <v>7</v>
      </c>
      <c r="G16" s="3">
        <v>1</v>
      </c>
      <c r="H16" s="39">
        <f>G16/F16</f>
        <v>0.14285714285714285</v>
      </c>
      <c r="I16" s="3" t="s">
        <v>5</v>
      </c>
      <c r="J16" s="3" t="s">
        <v>11</v>
      </c>
      <c r="K16" s="3" t="s">
        <v>11</v>
      </c>
      <c r="M16" s="133"/>
      <c r="N16" s="132">
        <f>C21</f>
        <v>0</v>
      </c>
      <c r="O16" s="4">
        <f t="shared" si="0"/>
        <v>0</v>
      </c>
      <c r="P16" s="18">
        <f t="shared" si="1"/>
        <v>1.2</v>
      </c>
      <c r="Q16" s="18">
        <f t="shared" si="2"/>
        <v>3.3908902300206645</v>
      </c>
      <c r="R16" s="5">
        <f t="shared" si="3"/>
        <v>2.6569420029637421</v>
      </c>
      <c r="S16" s="5">
        <f t="shared" si="4"/>
        <v>0</v>
      </c>
      <c r="T16" s="42">
        <f t="shared" si="5"/>
        <v>1.9339482270569226</v>
      </c>
      <c r="U16" s="5">
        <f t="shared" si="6"/>
        <v>0.46605177294307742</v>
      </c>
      <c r="V16" s="111"/>
      <c r="W16" s="111"/>
      <c r="X16" s="111"/>
      <c r="Y16" s="111"/>
      <c r="Z16" s="111"/>
      <c r="AA16" s="111"/>
      <c r="AB16" s="25"/>
      <c r="AC16" s="37"/>
      <c r="AD16" s="111"/>
      <c r="AE16" s="111"/>
      <c r="AF16" s="111"/>
      <c r="AG16" s="111"/>
      <c r="AH16" s="111"/>
      <c r="AI16" s="111"/>
      <c r="AJ16" s="25"/>
    </row>
    <row r="17" spans="1:36" ht="27" customHeight="1" x14ac:dyDescent="0.3">
      <c r="A17" s="104">
        <v>11</v>
      </c>
      <c r="B17" s="5">
        <v>5</v>
      </c>
      <c r="C17" s="5">
        <v>1</v>
      </c>
      <c r="D17" s="11">
        <f>C17/B17</f>
        <v>0.2</v>
      </c>
      <c r="E17" s="5" t="s">
        <v>6</v>
      </c>
      <c r="F17" s="5">
        <v>7</v>
      </c>
      <c r="G17" s="5">
        <v>0</v>
      </c>
      <c r="H17" s="39">
        <f>G17/F17</f>
        <v>0</v>
      </c>
      <c r="I17" s="5" t="s">
        <v>11</v>
      </c>
      <c r="J17" s="5" t="s">
        <v>11</v>
      </c>
      <c r="K17" s="5" t="s">
        <v>11</v>
      </c>
      <c r="M17" s="133"/>
      <c r="N17" s="132">
        <f>C22</f>
        <v>2</v>
      </c>
      <c r="O17" s="4">
        <f t="shared" si="0"/>
        <v>0</v>
      </c>
      <c r="P17" s="18">
        <f t="shared" si="1"/>
        <v>1.2</v>
      </c>
      <c r="Q17" s="18">
        <f t="shared" si="2"/>
        <v>3.3908902300206645</v>
      </c>
      <c r="R17" s="5">
        <f t="shared" si="3"/>
        <v>2.6569420029637421</v>
      </c>
      <c r="S17" s="5">
        <f t="shared" si="4"/>
        <v>0</v>
      </c>
      <c r="T17" s="42">
        <f t="shared" si="5"/>
        <v>1.9339482270569226</v>
      </c>
      <c r="U17" s="5">
        <f t="shared" si="6"/>
        <v>0.46605177294307742</v>
      </c>
      <c r="V17" s="111"/>
      <c r="W17" s="111"/>
      <c r="X17" s="111"/>
      <c r="Y17" s="111"/>
      <c r="Z17" s="111"/>
      <c r="AA17" s="111"/>
      <c r="AB17" s="25"/>
      <c r="AC17" s="37"/>
      <c r="AD17" s="111"/>
      <c r="AE17" s="111"/>
      <c r="AF17" s="111"/>
      <c r="AG17" s="111"/>
      <c r="AH17" s="111"/>
      <c r="AI17" s="111"/>
      <c r="AJ17" s="25"/>
    </row>
    <row r="18" spans="1:36" x14ac:dyDescent="0.3">
      <c r="A18" s="105">
        <v>12</v>
      </c>
      <c r="B18" s="53">
        <v>5</v>
      </c>
      <c r="C18" s="74">
        <v>2</v>
      </c>
      <c r="D18" s="79">
        <f>C18/B18</f>
        <v>0.4</v>
      </c>
      <c r="E18" s="3" t="s">
        <v>8</v>
      </c>
      <c r="F18" s="53">
        <v>7</v>
      </c>
      <c r="G18" s="53">
        <v>2</v>
      </c>
      <c r="H18" s="73">
        <f>G18/F18</f>
        <v>0.2857142857142857</v>
      </c>
      <c r="I18" s="74" t="s">
        <v>5</v>
      </c>
      <c r="J18" s="53" t="s">
        <v>10</v>
      </c>
      <c r="K18" s="60" t="s">
        <v>11</v>
      </c>
      <c r="M18" s="133"/>
      <c r="N18" s="155">
        <f>SUM(N3:N17)</f>
        <v>18</v>
      </c>
      <c r="O18" s="11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25"/>
      <c r="AC18" s="37"/>
      <c r="AD18" s="111"/>
      <c r="AE18" s="111"/>
      <c r="AF18" s="111"/>
      <c r="AG18" s="111"/>
      <c r="AH18" s="111"/>
      <c r="AI18" s="111"/>
      <c r="AJ18" s="25"/>
    </row>
    <row r="19" spans="1:36" x14ac:dyDescent="0.3">
      <c r="A19" s="106"/>
      <c r="B19" s="54"/>
      <c r="C19" s="74"/>
      <c r="D19" s="79"/>
      <c r="E19" s="3" t="s">
        <v>6</v>
      </c>
      <c r="F19" s="54"/>
      <c r="G19" s="54"/>
      <c r="H19" s="73"/>
      <c r="I19" s="74"/>
      <c r="J19" s="54"/>
      <c r="K19" s="62"/>
      <c r="M19" s="133"/>
      <c r="N19" s="27"/>
      <c r="O19" s="153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25"/>
      <c r="AC19" s="37"/>
      <c r="AD19" s="111"/>
      <c r="AE19" s="111"/>
      <c r="AF19" s="111"/>
      <c r="AG19" s="111"/>
      <c r="AH19" s="111"/>
      <c r="AI19" s="111"/>
      <c r="AJ19" s="25"/>
    </row>
    <row r="20" spans="1:36" ht="27.6" customHeight="1" x14ac:dyDescent="0.3">
      <c r="A20" s="107">
        <v>13</v>
      </c>
      <c r="B20" s="5">
        <v>5</v>
      </c>
      <c r="C20" s="5">
        <v>0</v>
      </c>
      <c r="D20" s="11">
        <f>C20/B20</f>
        <v>0</v>
      </c>
      <c r="E20" s="5" t="s">
        <v>11</v>
      </c>
      <c r="F20" s="5">
        <v>7</v>
      </c>
      <c r="G20" s="5">
        <v>1</v>
      </c>
      <c r="H20" s="39">
        <f>G20/F20</f>
        <v>0.14285714285714285</v>
      </c>
      <c r="I20" s="5" t="s">
        <v>9</v>
      </c>
      <c r="J20" s="5" t="s">
        <v>11</v>
      </c>
      <c r="K20" s="5" t="s">
        <v>11</v>
      </c>
      <c r="M20" s="133"/>
      <c r="N20" s="27"/>
      <c r="O20" s="153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25"/>
      <c r="AC20" s="37"/>
      <c r="AD20" s="111"/>
      <c r="AE20" s="111"/>
      <c r="AF20" s="111"/>
      <c r="AG20" s="111"/>
      <c r="AH20" s="111"/>
      <c r="AI20" s="111"/>
      <c r="AJ20" s="25"/>
    </row>
    <row r="21" spans="1:36" ht="28.2" customHeight="1" x14ac:dyDescent="0.3">
      <c r="A21" s="9">
        <v>14</v>
      </c>
      <c r="B21" s="3">
        <v>5</v>
      </c>
      <c r="C21" s="3">
        <v>0</v>
      </c>
      <c r="D21" s="8">
        <f>C21/B21</f>
        <v>0</v>
      </c>
      <c r="E21" s="3" t="s">
        <v>11</v>
      </c>
      <c r="F21" s="3">
        <v>7</v>
      </c>
      <c r="G21" s="3">
        <v>1</v>
      </c>
      <c r="H21" s="39">
        <f>G21/F21</f>
        <v>0.14285714285714285</v>
      </c>
      <c r="I21" s="3" t="s">
        <v>9</v>
      </c>
      <c r="J21" s="3" t="s">
        <v>11</v>
      </c>
      <c r="K21" s="3" t="s">
        <v>11</v>
      </c>
      <c r="M21" s="133"/>
      <c r="N21" s="26"/>
      <c r="O21" s="11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25"/>
      <c r="AC21" s="37"/>
      <c r="AD21" s="111"/>
      <c r="AE21" s="111"/>
      <c r="AF21" s="111"/>
      <c r="AG21" s="111"/>
      <c r="AH21" s="111"/>
      <c r="AI21" s="111"/>
      <c r="AJ21" s="25"/>
    </row>
    <row r="22" spans="1:36" x14ac:dyDescent="0.3">
      <c r="A22" s="108">
        <v>15</v>
      </c>
      <c r="B22" s="57">
        <v>5</v>
      </c>
      <c r="C22" s="55">
        <v>2</v>
      </c>
      <c r="D22" s="78">
        <f>C22/B22</f>
        <v>0.4</v>
      </c>
      <c r="E22" s="5" t="s">
        <v>6</v>
      </c>
      <c r="F22" s="57">
        <v>7</v>
      </c>
      <c r="G22" s="57">
        <v>2</v>
      </c>
      <c r="H22" s="73">
        <f>G22/F22</f>
        <v>0.2857142857142857</v>
      </c>
      <c r="I22" s="55" t="s">
        <v>5</v>
      </c>
      <c r="J22" s="57" t="s">
        <v>6</v>
      </c>
      <c r="K22" s="63" t="s">
        <v>11</v>
      </c>
      <c r="M22" s="133"/>
      <c r="N22" s="26"/>
      <c r="O22" s="11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25"/>
      <c r="AC22" s="37"/>
      <c r="AD22" s="111"/>
      <c r="AE22" s="111"/>
      <c r="AF22" s="111"/>
      <c r="AG22" s="111"/>
      <c r="AH22" s="111"/>
      <c r="AI22" s="111"/>
      <c r="AJ22" s="25"/>
    </row>
    <row r="23" spans="1:36" ht="15" thickBot="1" x14ac:dyDescent="0.35">
      <c r="A23" s="109"/>
      <c r="B23" s="58"/>
      <c r="C23" s="55"/>
      <c r="D23" s="78"/>
      <c r="E23" s="5" t="s">
        <v>7</v>
      </c>
      <c r="F23" s="58"/>
      <c r="G23" s="58"/>
      <c r="H23" s="73"/>
      <c r="I23" s="55"/>
      <c r="J23" s="58"/>
      <c r="K23" s="64"/>
      <c r="M23" s="152"/>
      <c r="N23" s="28"/>
      <c r="O23" s="29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1"/>
      <c r="AC23" s="38"/>
      <c r="AD23" s="30"/>
      <c r="AE23" s="30"/>
      <c r="AF23" s="30"/>
      <c r="AG23" s="30"/>
      <c r="AH23" s="30"/>
      <c r="AI23" s="30"/>
      <c r="AJ23" s="31"/>
    </row>
    <row r="24" spans="1:36" x14ac:dyDescent="0.3">
      <c r="A24" s="9" t="s">
        <v>17</v>
      </c>
      <c r="B24" s="9">
        <f>SUM(B2:B23)</f>
        <v>75</v>
      </c>
      <c r="C24" s="9">
        <f>SUM(C2:C23)</f>
        <v>18</v>
      </c>
      <c r="D24" s="10">
        <f>SUM(D2:D23)/15</f>
        <v>0.24000000000000002</v>
      </c>
      <c r="E24" s="9" t="s">
        <v>11</v>
      </c>
      <c r="F24" s="9">
        <f>7*15</f>
        <v>105</v>
      </c>
      <c r="G24" s="40">
        <f>SUM(G2:G23)</f>
        <v>19</v>
      </c>
      <c r="H24" s="10">
        <f>SUM(H2:H23)/15</f>
        <v>0.18095238095238089</v>
      </c>
      <c r="I24" s="9" t="s">
        <v>11</v>
      </c>
      <c r="J24" s="9" t="s">
        <v>11</v>
      </c>
      <c r="K24" s="9" t="s">
        <v>11</v>
      </c>
    </row>
    <row r="25" spans="1:36" x14ac:dyDescent="0.3">
      <c r="D25" s="9">
        <f>C24/(B22*A22)</f>
        <v>0.24</v>
      </c>
      <c r="H25" s="10">
        <f>G24/(F22*A22)</f>
        <v>0.18095238095238095</v>
      </c>
    </row>
    <row r="26" spans="1:36" ht="15" thickBot="1" x14ac:dyDescent="0.35">
      <c r="E26" s="13"/>
      <c r="F26" s="13"/>
    </row>
    <row r="27" spans="1:36" ht="14.4" customHeight="1" x14ac:dyDescent="0.3">
      <c r="N27" s="67" t="s">
        <v>41</v>
      </c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9"/>
    </row>
    <row r="28" spans="1:36" ht="14.4" customHeight="1" x14ac:dyDescent="0.3">
      <c r="N28" s="70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2"/>
    </row>
    <row r="29" spans="1:36" ht="15" customHeight="1" thickBot="1" x14ac:dyDescent="0.35">
      <c r="N29" s="70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166"/>
      <c r="AB29" s="166"/>
      <c r="AC29" s="166"/>
      <c r="AD29" s="166"/>
      <c r="AE29" s="166"/>
      <c r="AF29" s="166"/>
      <c r="AG29" s="166"/>
      <c r="AH29" s="166"/>
      <c r="AI29" s="166"/>
      <c r="AJ29" s="72"/>
    </row>
    <row r="30" spans="1:36" ht="57.6" x14ac:dyDescent="0.3">
      <c r="M30" s="119" t="s">
        <v>55</v>
      </c>
      <c r="N30" s="174" t="s">
        <v>50</v>
      </c>
      <c r="O30" s="144" t="s">
        <v>42</v>
      </c>
      <c r="P30" s="144" t="s">
        <v>78</v>
      </c>
      <c r="Q30" s="22" t="s">
        <v>24</v>
      </c>
      <c r="R30" s="19" t="s">
        <v>51</v>
      </c>
      <c r="S30" s="22" t="s">
        <v>25</v>
      </c>
      <c r="T30" s="175" t="s">
        <v>79</v>
      </c>
      <c r="U30" s="175" t="s">
        <v>80</v>
      </c>
      <c r="V30" s="175" t="s">
        <v>81</v>
      </c>
      <c r="W30" s="175" t="s">
        <v>82</v>
      </c>
      <c r="X30" s="23"/>
      <c r="Y30" s="23"/>
      <c r="Z30" s="23"/>
      <c r="AA30" s="176"/>
      <c r="AB30" s="176"/>
      <c r="AC30" s="177"/>
      <c r="AD30" s="176"/>
      <c r="AE30" s="176"/>
      <c r="AF30" s="178"/>
      <c r="AG30" s="23"/>
      <c r="AH30" s="23"/>
      <c r="AI30" s="23"/>
      <c r="AJ30" s="24"/>
    </row>
    <row r="31" spans="1:36" x14ac:dyDescent="0.3">
      <c r="M31" s="120"/>
      <c r="N31" s="179">
        <v>1</v>
      </c>
      <c r="O31" s="5">
        <v>7</v>
      </c>
      <c r="P31" s="87">
        <f>G2</f>
        <v>2</v>
      </c>
      <c r="Q31" s="5">
        <f>$Q$52</f>
        <v>0</v>
      </c>
      <c r="R31" s="42">
        <f>$Q$53</f>
        <v>1.2666666666666666</v>
      </c>
      <c r="S31" s="5">
        <f>$Q$54</f>
        <v>3.5175924021512177</v>
      </c>
      <c r="T31" s="5">
        <f>$Q$55</f>
        <v>2.7635322807638931</v>
      </c>
      <c r="U31" s="5">
        <f>$Q$56</f>
        <v>0</v>
      </c>
      <c r="V31" s="5">
        <f>$Q$57</f>
        <v>2.0207267880539912</v>
      </c>
      <c r="W31" s="5">
        <f>$Q$58</f>
        <v>0.51260654527934191</v>
      </c>
      <c r="X31" s="111"/>
      <c r="Y31" s="111"/>
      <c r="Z31" s="111"/>
      <c r="AA31" s="170"/>
      <c r="AB31" s="170"/>
      <c r="AC31" s="171"/>
      <c r="AD31" s="172"/>
      <c r="AE31" s="172"/>
      <c r="AF31" s="169"/>
      <c r="AG31" s="111"/>
      <c r="AH31" s="111"/>
      <c r="AI31" s="111"/>
      <c r="AJ31" s="25"/>
    </row>
    <row r="32" spans="1:36" ht="57.6" x14ac:dyDescent="0.3">
      <c r="A32" s="12" t="s">
        <v>0</v>
      </c>
      <c r="B32" s="12" t="s">
        <v>43</v>
      </c>
      <c r="C32" s="12" t="s">
        <v>44</v>
      </c>
      <c r="D32" s="12" t="s">
        <v>59</v>
      </c>
      <c r="M32" s="120"/>
      <c r="N32" s="179">
        <v>2</v>
      </c>
      <c r="O32" s="5">
        <v>7</v>
      </c>
      <c r="P32" s="87">
        <f>G3</f>
        <v>2</v>
      </c>
      <c r="Q32" s="5">
        <f>$Q$52</f>
        <v>0</v>
      </c>
      <c r="R32" s="42">
        <f>$Q$53</f>
        <v>1.2666666666666666</v>
      </c>
      <c r="S32" s="5">
        <f>$Q$54</f>
        <v>3.5175924021512177</v>
      </c>
      <c r="T32" s="5">
        <f>$Q$55</f>
        <v>2.7635322807638931</v>
      </c>
      <c r="U32" s="5">
        <f>$Q$56</f>
        <v>0</v>
      </c>
      <c r="V32" s="5">
        <f t="shared" ref="V32:V45" si="8">$Q$57</f>
        <v>2.0207267880539912</v>
      </c>
      <c r="W32" s="5">
        <f t="shared" ref="W32:W45" si="9">$Q$58</f>
        <v>0.51260654527934191</v>
      </c>
      <c r="X32" s="111"/>
      <c r="Y32" s="111"/>
      <c r="Z32" s="111"/>
      <c r="AA32" s="170"/>
      <c r="AB32" s="170"/>
      <c r="AC32" s="171"/>
      <c r="AD32" s="172"/>
      <c r="AE32" s="172"/>
      <c r="AF32" s="169"/>
      <c r="AG32" s="111"/>
      <c r="AH32" s="111"/>
      <c r="AI32" s="111"/>
      <c r="AJ32" s="25"/>
    </row>
    <row r="33" spans="1:36" x14ac:dyDescent="0.3">
      <c r="A33" s="3">
        <v>1</v>
      </c>
      <c r="B33" s="3">
        <v>5</v>
      </c>
      <c r="C33" s="3">
        <v>1</v>
      </c>
      <c r="D33" s="130">
        <f>C33*2</f>
        <v>2</v>
      </c>
      <c r="M33" s="120"/>
      <c r="N33" s="179">
        <v>3</v>
      </c>
      <c r="O33" s="5">
        <v>7</v>
      </c>
      <c r="P33" s="87">
        <f>G4</f>
        <v>1</v>
      </c>
      <c r="Q33" s="5">
        <f>$Q$52</f>
        <v>0</v>
      </c>
      <c r="R33" s="42">
        <f>$Q$53</f>
        <v>1.2666666666666666</v>
      </c>
      <c r="S33" s="5">
        <f>$Q$54</f>
        <v>3.5175924021512177</v>
      </c>
      <c r="T33" s="5">
        <f>$Q$55</f>
        <v>2.7635322807638931</v>
      </c>
      <c r="U33" s="5">
        <f>$Q$56</f>
        <v>0</v>
      </c>
      <c r="V33" s="5">
        <f t="shared" si="8"/>
        <v>2.0207267880539912</v>
      </c>
      <c r="W33" s="5">
        <f t="shared" si="9"/>
        <v>0.51260654527934191</v>
      </c>
      <c r="X33" s="111"/>
      <c r="Y33" s="111"/>
      <c r="Z33" s="111"/>
      <c r="AA33" s="170"/>
      <c r="AB33" s="170"/>
      <c r="AC33" s="171"/>
      <c r="AD33" s="172"/>
      <c r="AE33" s="172"/>
      <c r="AF33" s="169"/>
      <c r="AG33" s="111"/>
      <c r="AH33" s="111"/>
      <c r="AI33" s="111"/>
      <c r="AJ33" s="25"/>
    </row>
    <row r="34" spans="1:36" x14ac:dyDescent="0.3">
      <c r="A34" s="3">
        <v>2</v>
      </c>
      <c r="B34" s="3">
        <v>5</v>
      </c>
      <c r="C34" s="3">
        <v>1</v>
      </c>
      <c r="D34" s="130">
        <f t="shared" ref="D34:D47" si="10">C34*2</f>
        <v>2</v>
      </c>
      <c r="M34" s="120"/>
      <c r="N34" s="179">
        <v>4</v>
      </c>
      <c r="O34" s="5">
        <v>7</v>
      </c>
      <c r="P34" s="87">
        <f>G6</f>
        <v>1</v>
      </c>
      <c r="Q34" s="5">
        <f>$Q$52</f>
        <v>0</v>
      </c>
      <c r="R34" s="42">
        <f>$Q$53</f>
        <v>1.2666666666666666</v>
      </c>
      <c r="S34" s="5">
        <f>$Q$54</f>
        <v>3.5175924021512177</v>
      </c>
      <c r="T34" s="5">
        <f>$Q$55</f>
        <v>2.7635322807638931</v>
      </c>
      <c r="U34" s="5">
        <f>$Q$56</f>
        <v>0</v>
      </c>
      <c r="V34" s="5">
        <f t="shared" si="8"/>
        <v>2.0207267880539912</v>
      </c>
      <c r="W34" s="5">
        <f t="shared" si="9"/>
        <v>0.51260654527934191</v>
      </c>
      <c r="X34" s="111"/>
      <c r="Y34" s="111"/>
      <c r="Z34" s="111"/>
      <c r="AA34" s="170"/>
      <c r="AB34" s="170"/>
      <c r="AC34" s="171"/>
      <c r="AD34" s="172"/>
      <c r="AE34" s="172"/>
      <c r="AF34" s="169"/>
      <c r="AG34" s="111"/>
      <c r="AH34" s="111"/>
      <c r="AI34" s="111"/>
      <c r="AJ34" s="25"/>
    </row>
    <row r="35" spans="1:36" x14ac:dyDescent="0.3">
      <c r="A35" s="3">
        <v>3</v>
      </c>
      <c r="B35" s="3">
        <v>5</v>
      </c>
      <c r="C35" s="3">
        <v>2</v>
      </c>
      <c r="D35" s="130">
        <f t="shared" si="10"/>
        <v>4</v>
      </c>
      <c r="M35" s="120"/>
      <c r="N35" s="179">
        <v>5</v>
      </c>
      <c r="O35" s="5">
        <v>7</v>
      </c>
      <c r="P35" s="87">
        <f>G9</f>
        <v>0</v>
      </c>
      <c r="Q35" s="5">
        <f>$Q$52</f>
        <v>0</v>
      </c>
      <c r="R35" s="42">
        <f>$Q$53</f>
        <v>1.2666666666666666</v>
      </c>
      <c r="S35" s="5">
        <f>$Q$54</f>
        <v>3.5175924021512177</v>
      </c>
      <c r="T35" s="5">
        <f>$Q$55</f>
        <v>2.7635322807638931</v>
      </c>
      <c r="U35" s="5">
        <f>$Q$56</f>
        <v>0</v>
      </c>
      <c r="V35" s="5">
        <f t="shared" si="8"/>
        <v>2.0207267880539912</v>
      </c>
      <c r="W35" s="5">
        <f t="shared" si="9"/>
        <v>0.51260654527934191</v>
      </c>
      <c r="X35" s="111"/>
      <c r="Y35" s="111"/>
      <c r="Z35" s="111"/>
      <c r="AA35" s="170"/>
      <c r="AB35" s="170"/>
      <c r="AC35" s="171"/>
      <c r="AD35" s="172"/>
      <c r="AE35" s="172"/>
      <c r="AF35" s="169"/>
      <c r="AG35" s="111"/>
      <c r="AH35" s="111"/>
      <c r="AI35" s="111"/>
      <c r="AJ35" s="25"/>
    </row>
    <row r="36" spans="1:36" x14ac:dyDescent="0.3">
      <c r="A36" s="3">
        <v>4</v>
      </c>
      <c r="B36" s="3">
        <v>5</v>
      </c>
      <c r="C36" s="3">
        <v>3</v>
      </c>
      <c r="D36" s="130">
        <f t="shared" si="10"/>
        <v>6</v>
      </c>
      <c r="M36" s="120"/>
      <c r="N36" s="179">
        <v>6</v>
      </c>
      <c r="O36" s="5">
        <v>7</v>
      </c>
      <c r="P36" s="87">
        <f>G10</f>
        <v>0</v>
      </c>
      <c r="Q36" s="5">
        <f>$Q$52</f>
        <v>0</v>
      </c>
      <c r="R36" s="42">
        <f>$Q$53</f>
        <v>1.2666666666666666</v>
      </c>
      <c r="S36" s="5">
        <f>$Q$54</f>
        <v>3.5175924021512177</v>
      </c>
      <c r="T36" s="5">
        <f>$Q$55</f>
        <v>2.7635322807638931</v>
      </c>
      <c r="U36" s="5">
        <f>$Q$56</f>
        <v>0</v>
      </c>
      <c r="V36" s="5">
        <f t="shared" si="8"/>
        <v>2.0207267880539912</v>
      </c>
      <c r="W36" s="5">
        <f t="shared" si="9"/>
        <v>0.51260654527934191</v>
      </c>
      <c r="X36" s="111"/>
      <c r="Y36" s="111"/>
      <c r="Z36" s="111"/>
      <c r="AA36" s="170"/>
      <c r="AB36" s="170"/>
      <c r="AC36" s="171"/>
      <c r="AD36" s="172"/>
      <c r="AE36" s="172"/>
      <c r="AF36" s="169"/>
      <c r="AG36" s="111"/>
      <c r="AH36" s="111"/>
      <c r="AI36" s="111"/>
      <c r="AJ36" s="25"/>
    </row>
    <row r="37" spans="1:36" x14ac:dyDescent="0.3">
      <c r="A37" s="3">
        <v>5</v>
      </c>
      <c r="B37" s="3">
        <v>5</v>
      </c>
      <c r="C37" s="3">
        <v>0</v>
      </c>
      <c r="D37" s="130">
        <f t="shared" si="10"/>
        <v>0</v>
      </c>
      <c r="M37" s="120"/>
      <c r="N37" s="179">
        <v>7</v>
      </c>
      <c r="O37" s="5">
        <v>7</v>
      </c>
      <c r="P37" s="87">
        <f>G11</f>
        <v>1</v>
      </c>
      <c r="Q37" s="5">
        <f>$Q$52</f>
        <v>0</v>
      </c>
      <c r="R37" s="42">
        <f>$Q$53</f>
        <v>1.2666666666666666</v>
      </c>
      <c r="S37" s="5">
        <f>$Q$54</f>
        <v>3.5175924021512177</v>
      </c>
      <c r="T37" s="5">
        <f>$Q$55</f>
        <v>2.7635322807638931</v>
      </c>
      <c r="U37" s="5">
        <f>$Q$56</f>
        <v>0</v>
      </c>
      <c r="V37" s="5">
        <f t="shared" si="8"/>
        <v>2.0207267880539912</v>
      </c>
      <c r="W37" s="5">
        <f t="shared" si="9"/>
        <v>0.51260654527934191</v>
      </c>
      <c r="X37" s="111"/>
      <c r="Y37" s="111"/>
      <c r="Z37" s="111"/>
      <c r="AA37" s="170"/>
      <c r="AB37" s="170"/>
      <c r="AC37" s="171"/>
      <c r="AD37" s="172"/>
      <c r="AE37" s="172"/>
      <c r="AF37" s="169"/>
      <c r="AG37" s="111"/>
      <c r="AH37" s="111"/>
      <c r="AI37" s="111"/>
      <c r="AJ37" s="25"/>
    </row>
    <row r="38" spans="1:36" x14ac:dyDescent="0.3">
      <c r="A38" s="3">
        <v>6</v>
      </c>
      <c r="B38" s="3">
        <v>5</v>
      </c>
      <c r="C38" s="3">
        <v>1</v>
      </c>
      <c r="D38" s="130">
        <f t="shared" si="10"/>
        <v>2</v>
      </c>
      <c r="M38" s="120"/>
      <c r="N38" s="179">
        <v>8</v>
      </c>
      <c r="O38" s="5">
        <v>7</v>
      </c>
      <c r="P38" s="87">
        <f>G13</f>
        <v>3</v>
      </c>
      <c r="Q38" s="5">
        <f>$Q$52</f>
        <v>0</v>
      </c>
      <c r="R38" s="42">
        <f>$Q$53</f>
        <v>1.2666666666666666</v>
      </c>
      <c r="S38" s="5">
        <f>$Q$54</f>
        <v>3.5175924021512177</v>
      </c>
      <c r="T38" s="5">
        <f>$Q$55</f>
        <v>2.7635322807638931</v>
      </c>
      <c r="U38" s="5">
        <f>$Q$56</f>
        <v>0</v>
      </c>
      <c r="V38" s="5">
        <f t="shared" si="8"/>
        <v>2.0207267880539912</v>
      </c>
      <c r="W38" s="5">
        <f t="shared" si="9"/>
        <v>0.51260654527934191</v>
      </c>
      <c r="X38" s="111"/>
      <c r="Y38" s="111"/>
      <c r="Z38" s="111"/>
      <c r="AA38" s="173"/>
      <c r="AB38" s="173"/>
      <c r="AC38" s="169"/>
      <c r="AD38" s="169"/>
      <c r="AE38" s="169"/>
      <c r="AF38" s="169"/>
      <c r="AG38" s="111"/>
      <c r="AH38" s="111"/>
      <c r="AI38" s="111"/>
      <c r="AJ38" s="25"/>
    </row>
    <row r="39" spans="1:36" x14ac:dyDescent="0.3">
      <c r="A39" s="3">
        <v>7</v>
      </c>
      <c r="B39" s="3">
        <v>5</v>
      </c>
      <c r="C39" s="3">
        <v>2</v>
      </c>
      <c r="D39" s="130">
        <f t="shared" si="10"/>
        <v>4</v>
      </c>
      <c r="M39" s="120"/>
      <c r="N39" s="179">
        <v>9</v>
      </c>
      <c r="O39" s="5">
        <v>7</v>
      </c>
      <c r="P39" s="87">
        <f>G15</f>
        <v>2</v>
      </c>
      <c r="Q39" s="5">
        <f>$Q$52</f>
        <v>0</v>
      </c>
      <c r="R39" s="42">
        <f>$Q$53</f>
        <v>1.2666666666666666</v>
      </c>
      <c r="S39" s="5">
        <f>$Q$54</f>
        <v>3.5175924021512177</v>
      </c>
      <c r="T39" s="5">
        <f>$Q$55</f>
        <v>2.7635322807638931</v>
      </c>
      <c r="U39" s="5">
        <f>$Q$56</f>
        <v>0</v>
      </c>
      <c r="V39" s="5">
        <f t="shared" si="8"/>
        <v>2.0207267880539912</v>
      </c>
      <c r="W39" s="5">
        <f t="shared" si="9"/>
        <v>0.51260654527934191</v>
      </c>
      <c r="X39" s="111"/>
      <c r="Y39" s="111"/>
      <c r="Z39" s="111"/>
      <c r="AA39" s="169"/>
      <c r="AB39" s="169"/>
      <c r="AC39" s="169"/>
      <c r="AD39" s="169"/>
      <c r="AE39" s="169"/>
      <c r="AF39" s="169"/>
      <c r="AG39" s="111"/>
      <c r="AH39" s="111"/>
      <c r="AI39" s="111"/>
      <c r="AJ39" s="25"/>
    </row>
    <row r="40" spans="1:36" x14ac:dyDescent="0.3">
      <c r="A40" s="3">
        <v>8</v>
      </c>
      <c r="B40" s="3">
        <v>5</v>
      </c>
      <c r="C40" s="3">
        <v>2</v>
      </c>
      <c r="D40" s="130">
        <f t="shared" si="10"/>
        <v>4</v>
      </c>
      <c r="M40" s="120"/>
      <c r="N40" s="179">
        <v>10</v>
      </c>
      <c r="O40" s="5">
        <v>7</v>
      </c>
      <c r="P40" s="87">
        <f>G16</f>
        <v>1</v>
      </c>
      <c r="Q40" s="5">
        <f>$Q$52</f>
        <v>0</v>
      </c>
      <c r="R40" s="42">
        <f>$Q$53</f>
        <v>1.2666666666666666</v>
      </c>
      <c r="S40" s="5">
        <f>$Q$54</f>
        <v>3.5175924021512177</v>
      </c>
      <c r="T40" s="5">
        <f>$Q$55</f>
        <v>2.7635322807638931</v>
      </c>
      <c r="U40" s="5">
        <f>$Q$56</f>
        <v>0</v>
      </c>
      <c r="V40" s="5">
        <f t="shared" si="8"/>
        <v>2.0207267880539912</v>
      </c>
      <c r="W40" s="5">
        <f t="shared" si="9"/>
        <v>0.51260654527934191</v>
      </c>
      <c r="X40" s="111"/>
      <c r="Y40" s="111"/>
      <c r="Z40" s="111"/>
      <c r="AA40" s="169"/>
      <c r="AB40" s="169"/>
      <c r="AC40" s="169"/>
      <c r="AD40" s="169"/>
      <c r="AE40" s="169"/>
      <c r="AF40" s="169"/>
      <c r="AG40" s="111"/>
      <c r="AH40" s="111"/>
      <c r="AI40" s="111"/>
      <c r="AJ40" s="25"/>
    </row>
    <row r="41" spans="1:36" x14ac:dyDescent="0.3">
      <c r="A41" s="3">
        <v>9</v>
      </c>
      <c r="B41" s="3">
        <v>5</v>
      </c>
      <c r="C41" s="3">
        <v>1</v>
      </c>
      <c r="D41" s="130">
        <f t="shared" si="10"/>
        <v>2</v>
      </c>
      <c r="M41" s="120"/>
      <c r="N41" s="179">
        <v>11</v>
      </c>
      <c r="O41" s="5">
        <v>7</v>
      </c>
      <c r="P41" s="87">
        <f>G17</f>
        <v>0</v>
      </c>
      <c r="Q41" s="5">
        <f>$Q$52</f>
        <v>0</v>
      </c>
      <c r="R41" s="42">
        <f>$Q$53</f>
        <v>1.2666666666666666</v>
      </c>
      <c r="S41" s="5">
        <f>$Q$54</f>
        <v>3.5175924021512177</v>
      </c>
      <c r="T41" s="5">
        <f>$Q$55</f>
        <v>2.7635322807638931</v>
      </c>
      <c r="U41" s="5">
        <f>$Q$56</f>
        <v>0</v>
      </c>
      <c r="V41" s="5">
        <f t="shared" si="8"/>
        <v>2.0207267880539912</v>
      </c>
      <c r="W41" s="5">
        <f t="shared" si="9"/>
        <v>0.51260654527934191</v>
      </c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25"/>
    </row>
    <row r="42" spans="1:36" x14ac:dyDescent="0.3">
      <c r="A42" s="3">
        <v>10</v>
      </c>
      <c r="B42" s="3">
        <v>5</v>
      </c>
      <c r="C42" s="3">
        <v>0</v>
      </c>
      <c r="D42" s="130">
        <f t="shared" si="10"/>
        <v>0</v>
      </c>
      <c r="M42" s="120"/>
      <c r="N42" s="179">
        <v>12</v>
      </c>
      <c r="O42" s="5">
        <v>7</v>
      </c>
      <c r="P42" s="87">
        <f>G18</f>
        <v>2</v>
      </c>
      <c r="Q42" s="5">
        <f>$Q$52</f>
        <v>0</v>
      </c>
      <c r="R42" s="42">
        <f>$Q$53</f>
        <v>1.2666666666666666</v>
      </c>
      <c r="S42" s="5">
        <f>$Q$54</f>
        <v>3.5175924021512177</v>
      </c>
      <c r="T42" s="5">
        <f>$Q$55</f>
        <v>2.7635322807638931</v>
      </c>
      <c r="U42" s="5">
        <f>$Q$56</f>
        <v>0</v>
      </c>
      <c r="V42" s="5">
        <f t="shared" si="8"/>
        <v>2.0207267880539912</v>
      </c>
      <c r="W42" s="5">
        <f t="shared" si="9"/>
        <v>0.51260654527934191</v>
      </c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25"/>
    </row>
    <row r="43" spans="1:36" x14ac:dyDescent="0.3">
      <c r="A43" s="3">
        <v>11</v>
      </c>
      <c r="B43" s="3">
        <v>5</v>
      </c>
      <c r="C43" s="3">
        <v>1</v>
      </c>
      <c r="D43" s="130">
        <f t="shared" si="10"/>
        <v>2</v>
      </c>
      <c r="M43" s="120"/>
      <c r="N43" s="179">
        <v>13</v>
      </c>
      <c r="O43" s="5">
        <v>7</v>
      </c>
      <c r="P43" s="87">
        <f>G20</f>
        <v>1</v>
      </c>
      <c r="Q43" s="5">
        <f>$Q$52</f>
        <v>0</v>
      </c>
      <c r="R43" s="42">
        <f>$Q$53</f>
        <v>1.2666666666666666</v>
      </c>
      <c r="S43" s="5">
        <f>$Q$54</f>
        <v>3.5175924021512177</v>
      </c>
      <c r="T43" s="5">
        <f>$Q$55</f>
        <v>2.7635322807638931</v>
      </c>
      <c r="U43" s="5">
        <f>$Q$56</f>
        <v>0</v>
      </c>
      <c r="V43" s="5">
        <f t="shared" si="8"/>
        <v>2.0207267880539912</v>
      </c>
      <c r="W43" s="5">
        <f t="shared" si="9"/>
        <v>0.51260654527934191</v>
      </c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25"/>
    </row>
    <row r="44" spans="1:36" x14ac:dyDescent="0.3">
      <c r="A44" s="3">
        <v>12</v>
      </c>
      <c r="B44" s="3">
        <v>5</v>
      </c>
      <c r="C44" s="3">
        <v>2</v>
      </c>
      <c r="D44" s="130">
        <f t="shared" si="10"/>
        <v>4</v>
      </c>
      <c r="M44" s="120"/>
      <c r="N44" s="179">
        <v>14</v>
      </c>
      <c r="O44" s="5">
        <v>7</v>
      </c>
      <c r="P44" s="87">
        <f>G21</f>
        <v>1</v>
      </c>
      <c r="Q44" s="5">
        <f>$Q$52</f>
        <v>0</v>
      </c>
      <c r="R44" s="42">
        <f>$Q$53</f>
        <v>1.2666666666666666</v>
      </c>
      <c r="S44" s="5">
        <f>$Q$54</f>
        <v>3.5175924021512177</v>
      </c>
      <c r="T44" s="5">
        <f>$Q$55</f>
        <v>2.7635322807638931</v>
      </c>
      <c r="U44" s="5">
        <f>$Q$56</f>
        <v>0</v>
      </c>
      <c r="V44" s="5">
        <f t="shared" si="8"/>
        <v>2.0207267880539912</v>
      </c>
      <c r="W44" s="5">
        <f t="shared" si="9"/>
        <v>0.51260654527934191</v>
      </c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25"/>
    </row>
    <row r="45" spans="1:36" x14ac:dyDescent="0.3">
      <c r="A45" s="3">
        <v>13</v>
      </c>
      <c r="B45" s="3">
        <v>5</v>
      </c>
      <c r="C45" s="3">
        <v>0</v>
      </c>
      <c r="D45" s="130">
        <f t="shared" si="10"/>
        <v>0</v>
      </c>
      <c r="M45" s="120"/>
      <c r="N45" s="179">
        <v>15</v>
      </c>
      <c r="O45" s="5">
        <v>7</v>
      </c>
      <c r="P45" s="87">
        <f>G22</f>
        <v>2</v>
      </c>
      <c r="Q45" s="5">
        <f>$Q$52</f>
        <v>0</v>
      </c>
      <c r="R45" s="42">
        <f>$Q$53</f>
        <v>1.2666666666666666</v>
      </c>
      <c r="S45" s="5">
        <f>$Q$54</f>
        <v>3.5175924021512177</v>
      </c>
      <c r="T45" s="5">
        <f>$Q$55</f>
        <v>2.7635322807638931</v>
      </c>
      <c r="U45" s="5">
        <f>$Q$56</f>
        <v>0</v>
      </c>
      <c r="V45" s="5">
        <f t="shared" si="8"/>
        <v>2.0207267880539912</v>
      </c>
      <c r="W45" s="5">
        <f t="shared" si="9"/>
        <v>0.51260654527934191</v>
      </c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25"/>
    </row>
    <row r="46" spans="1:36" x14ac:dyDescent="0.3">
      <c r="A46" s="3">
        <v>14</v>
      </c>
      <c r="B46" s="3">
        <v>5</v>
      </c>
      <c r="C46" s="3">
        <v>0</v>
      </c>
      <c r="D46" s="130">
        <f t="shared" si="10"/>
        <v>0</v>
      </c>
      <c r="K46" s="20"/>
      <c r="M46" s="120"/>
      <c r="N46" s="180" t="s">
        <v>17</v>
      </c>
      <c r="O46" s="9">
        <f>SUM(O31:O45)</f>
        <v>105</v>
      </c>
      <c r="P46" s="88">
        <f>SUM(P31:P45)</f>
        <v>19</v>
      </c>
      <c r="Q46" s="146"/>
      <c r="R46" s="147"/>
      <c r="S46" s="147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25"/>
    </row>
    <row r="47" spans="1:36" x14ac:dyDescent="0.3">
      <c r="A47" s="3">
        <v>15</v>
      </c>
      <c r="B47" s="3">
        <v>5</v>
      </c>
      <c r="C47" s="3">
        <v>2</v>
      </c>
      <c r="D47" s="130">
        <f t="shared" si="10"/>
        <v>4</v>
      </c>
      <c r="M47" s="120"/>
      <c r="N47" s="26"/>
      <c r="O47" s="116"/>
      <c r="P47" s="118"/>
      <c r="Q47" s="116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25"/>
    </row>
    <row r="48" spans="1:36" x14ac:dyDescent="0.3">
      <c r="C48" s="2"/>
      <c r="D48" s="130">
        <f>SUM(D33:D47)</f>
        <v>36</v>
      </c>
      <c r="M48" s="120"/>
      <c r="N48" s="26"/>
      <c r="O48" s="116"/>
      <c r="P48" s="118"/>
      <c r="Q48" s="116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25"/>
    </row>
    <row r="49" spans="3:36" x14ac:dyDescent="0.3">
      <c r="C49" s="2"/>
      <c r="M49" s="120"/>
      <c r="N49" s="37"/>
      <c r="O49" s="111"/>
      <c r="P49" s="115" t="s">
        <v>27</v>
      </c>
      <c r="Q49" s="116">
        <v>15</v>
      </c>
      <c r="R49" s="116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25"/>
    </row>
    <row r="50" spans="3:36" x14ac:dyDescent="0.3">
      <c r="C50" s="2"/>
      <c r="M50" s="120"/>
      <c r="N50" s="37"/>
      <c r="O50" s="111"/>
      <c r="P50" s="115" t="s">
        <v>52</v>
      </c>
      <c r="Q50" s="118">
        <f>P46/Q49</f>
        <v>1.2666666666666666</v>
      </c>
      <c r="R50" s="116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25"/>
    </row>
    <row r="51" spans="3:36" x14ac:dyDescent="0.3">
      <c r="M51" s="120"/>
      <c r="N51" s="37"/>
      <c r="O51" s="111"/>
      <c r="P51" s="111"/>
      <c r="Q51" s="116"/>
      <c r="R51" s="116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25"/>
    </row>
    <row r="52" spans="3:36" x14ac:dyDescent="0.3">
      <c r="M52" s="120"/>
      <c r="N52" s="37"/>
      <c r="O52" s="111"/>
      <c r="P52" s="115" t="s">
        <v>28</v>
      </c>
      <c r="Q52" s="116">
        <f>IF(R52&lt;0,0,Q50-2*SQRT(Q50))</f>
        <v>0</v>
      </c>
      <c r="R52" s="145">
        <f>Q50-2*SQRT(Q50)</f>
        <v>-0.9842590688178845</v>
      </c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25"/>
    </row>
    <row r="53" spans="3:36" x14ac:dyDescent="0.3">
      <c r="M53" s="120"/>
      <c r="N53" s="37"/>
      <c r="O53" s="111"/>
      <c r="P53" s="115" t="s">
        <v>29</v>
      </c>
      <c r="Q53" s="118">
        <f>Q50</f>
        <v>1.2666666666666666</v>
      </c>
      <c r="R53" s="116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25"/>
    </row>
    <row r="54" spans="3:36" x14ac:dyDescent="0.3">
      <c r="L54" s="2"/>
      <c r="M54" s="120"/>
      <c r="N54" s="37"/>
      <c r="O54" s="111"/>
      <c r="P54" s="115" t="s">
        <v>30</v>
      </c>
      <c r="Q54" s="116">
        <f>Q50+2*SQRT(Q50)</f>
        <v>3.5175924021512177</v>
      </c>
      <c r="R54" s="116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25"/>
    </row>
    <row r="55" spans="3:36" x14ac:dyDescent="0.3">
      <c r="L55" s="2"/>
      <c r="M55" s="120"/>
      <c r="N55" s="37"/>
      <c r="O55" s="111"/>
      <c r="P55" s="158" t="s">
        <v>79</v>
      </c>
      <c r="Q55" s="111">
        <f>Q50+1.33*SQRT(Q50)</f>
        <v>2.7635322807638931</v>
      </c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25"/>
    </row>
    <row r="56" spans="3:36" x14ac:dyDescent="0.3">
      <c r="L56" s="2"/>
      <c r="M56" s="120"/>
      <c r="N56" s="37"/>
      <c r="O56" s="111"/>
      <c r="P56" s="158" t="s">
        <v>80</v>
      </c>
      <c r="Q56" s="156">
        <f>IF(Q50-1.33*SQRT(Q50)&lt;0,0,Q50-1.33*SQRT(Q50))</f>
        <v>0</v>
      </c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25"/>
    </row>
    <row r="57" spans="3:36" x14ac:dyDescent="0.3">
      <c r="L57" s="2"/>
      <c r="M57" s="120"/>
      <c r="N57" s="37"/>
      <c r="O57" s="111"/>
      <c r="P57" s="158" t="s">
        <v>81</v>
      </c>
      <c r="Q57" s="111">
        <f>Q50+0.67*SQRT(Q50)</f>
        <v>2.0207267880539912</v>
      </c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25"/>
    </row>
    <row r="58" spans="3:36" x14ac:dyDescent="0.3">
      <c r="L58" s="2"/>
      <c r="M58" s="120"/>
      <c r="N58" s="37"/>
      <c r="O58" s="111"/>
      <c r="P58" s="158" t="s">
        <v>82</v>
      </c>
      <c r="Q58" s="111">
        <f>Q50-0.67*SQRT(Q50)</f>
        <v>0.51260654527934191</v>
      </c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25"/>
    </row>
    <row r="59" spans="3:36" x14ac:dyDescent="0.3">
      <c r="L59" s="2"/>
      <c r="M59" s="120"/>
      <c r="N59" s="37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25"/>
    </row>
    <row r="60" spans="3:36" ht="15" thickBot="1" x14ac:dyDescent="0.35">
      <c r="L60" s="2"/>
      <c r="M60" s="148"/>
      <c r="N60" s="38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1"/>
    </row>
    <row r="61" spans="3:36" ht="43.2" x14ac:dyDescent="0.3">
      <c r="L61" s="2"/>
      <c r="M61" s="143" t="s">
        <v>57</v>
      </c>
      <c r="N61" s="114" t="s">
        <v>54</v>
      </c>
      <c r="O61" s="22" t="s">
        <v>53</v>
      </c>
      <c r="P61" s="19" t="s">
        <v>32</v>
      </c>
      <c r="Q61" s="110" t="s">
        <v>24</v>
      </c>
      <c r="R61" s="19" t="s">
        <v>31</v>
      </c>
      <c r="S61" s="22" t="s">
        <v>25</v>
      </c>
      <c r="T61" s="175" t="s">
        <v>79</v>
      </c>
      <c r="U61" s="175" t="s">
        <v>80</v>
      </c>
      <c r="V61" s="175" t="s">
        <v>81</v>
      </c>
      <c r="W61" s="175" t="s">
        <v>82</v>
      </c>
      <c r="X61" s="44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4"/>
    </row>
    <row r="62" spans="3:36" x14ac:dyDescent="0.3">
      <c r="L62" s="2"/>
      <c r="M62" s="121"/>
      <c r="N62" s="157">
        <v>1</v>
      </c>
      <c r="O62" s="123">
        <v>3</v>
      </c>
      <c r="P62" s="124">
        <f>O62/$R$77</f>
        <v>1</v>
      </c>
      <c r="Q62" s="5">
        <f>$R$80</f>
        <v>0.3381197846482995</v>
      </c>
      <c r="R62" s="125">
        <f>$R$78</f>
        <v>0.8</v>
      </c>
      <c r="S62" s="5">
        <f>$R$82</f>
        <v>1.2618802153517006</v>
      </c>
      <c r="T62" s="5">
        <f>$R$83</f>
        <v>1.1071503432088809</v>
      </c>
      <c r="U62" s="5">
        <f>$R$84</f>
        <v>0.4928496567911192</v>
      </c>
      <c r="V62" s="160">
        <f>$R$85</f>
        <v>0.95472987214281968</v>
      </c>
      <c r="W62" s="160">
        <f>$R$86</f>
        <v>0.64527012785718041</v>
      </c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25"/>
    </row>
    <row r="63" spans="3:36" x14ac:dyDescent="0.3">
      <c r="L63" s="2"/>
      <c r="M63" s="121"/>
      <c r="N63" s="157">
        <v>2</v>
      </c>
      <c r="O63" s="123">
        <v>1</v>
      </c>
      <c r="P63" s="124">
        <f>O63/$R$77</f>
        <v>0.33333333333333331</v>
      </c>
      <c r="Q63" s="5">
        <f>$R$80</f>
        <v>0.3381197846482995</v>
      </c>
      <c r="R63" s="125">
        <f>$R$78</f>
        <v>0.8</v>
      </c>
      <c r="S63" s="5">
        <f>$R$82</f>
        <v>1.2618802153517006</v>
      </c>
      <c r="T63" s="5">
        <f>$R$83</f>
        <v>1.1071503432088809</v>
      </c>
      <c r="U63" s="5">
        <f>$R$84</f>
        <v>0.4928496567911192</v>
      </c>
      <c r="V63" s="160">
        <f t="shared" ref="V63:V66" si="11">$R$85</f>
        <v>0.95472987214281968</v>
      </c>
      <c r="W63" s="160">
        <f t="shared" ref="W63:W66" si="12">$R$86</f>
        <v>0.64527012785718041</v>
      </c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25"/>
    </row>
    <row r="64" spans="3:36" x14ac:dyDescent="0.3">
      <c r="L64" s="2"/>
      <c r="M64" s="121"/>
      <c r="N64" s="157">
        <v>3</v>
      </c>
      <c r="O64" s="123">
        <v>3</v>
      </c>
      <c r="P64" s="124">
        <f>O64/$R$77</f>
        <v>1</v>
      </c>
      <c r="Q64" s="5">
        <f>$R$80</f>
        <v>0.3381197846482995</v>
      </c>
      <c r="R64" s="125">
        <f>$R$78</f>
        <v>0.8</v>
      </c>
      <c r="S64" s="5">
        <f>$R$82</f>
        <v>1.2618802153517006</v>
      </c>
      <c r="T64" s="5">
        <f>$R$83</f>
        <v>1.1071503432088809</v>
      </c>
      <c r="U64" s="5">
        <f>$R$84</f>
        <v>0.4928496567911192</v>
      </c>
      <c r="V64" s="160">
        <f t="shared" si="11"/>
        <v>0.95472987214281968</v>
      </c>
      <c r="W64" s="160">
        <f t="shared" si="12"/>
        <v>0.64527012785718041</v>
      </c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25"/>
    </row>
    <row r="65" spans="12:36" x14ac:dyDescent="0.3">
      <c r="L65" s="2"/>
      <c r="M65" s="121"/>
      <c r="N65" s="157">
        <v>4</v>
      </c>
      <c r="O65" s="123">
        <v>2</v>
      </c>
      <c r="P65" s="124">
        <f>O65/$R$77</f>
        <v>0.66666666666666663</v>
      </c>
      <c r="Q65" s="5">
        <f>$R$80</f>
        <v>0.3381197846482995</v>
      </c>
      <c r="R65" s="125">
        <f>$R$78</f>
        <v>0.8</v>
      </c>
      <c r="S65" s="5">
        <f>$R$82</f>
        <v>1.2618802153517006</v>
      </c>
      <c r="T65" s="5">
        <f>$R$83</f>
        <v>1.1071503432088809</v>
      </c>
      <c r="U65" s="5">
        <f>$R$84</f>
        <v>0.4928496567911192</v>
      </c>
      <c r="V65" s="160">
        <f t="shared" si="11"/>
        <v>0.95472987214281968</v>
      </c>
      <c r="W65" s="160">
        <f t="shared" si="12"/>
        <v>0.64527012785718041</v>
      </c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25"/>
    </row>
    <row r="66" spans="12:36" x14ac:dyDescent="0.3">
      <c r="L66" s="2"/>
      <c r="M66" s="121"/>
      <c r="N66" s="157">
        <v>5</v>
      </c>
      <c r="O66" s="123">
        <v>3</v>
      </c>
      <c r="P66" s="124">
        <f>O66/$R$77</f>
        <v>1</v>
      </c>
      <c r="Q66" s="5">
        <f>$R$80</f>
        <v>0.3381197846482995</v>
      </c>
      <c r="R66" s="125">
        <f>$R$78</f>
        <v>0.8</v>
      </c>
      <c r="S66" s="5">
        <f>$R$82</f>
        <v>1.2618802153517006</v>
      </c>
      <c r="T66" s="5">
        <f>$R$83</f>
        <v>1.1071503432088809</v>
      </c>
      <c r="U66" s="5">
        <f>$R$84</f>
        <v>0.4928496567911192</v>
      </c>
      <c r="V66" s="160">
        <f t="shared" si="11"/>
        <v>0.95472987214281968</v>
      </c>
      <c r="W66" s="160">
        <f t="shared" si="12"/>
        <v>0.64527012785718041</v>
      </c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25"/>
    </row>
    <row r="67" spans="12:36" x14ac:dyDescent="0.3">
      <c r="L67" s="2"/>
      <c r="M67" s="121"/>
      <c r="N67" s="36" t="s">
        <v>17</v>
      </c>
      <c r="O67" s="3">
        <f>SUM(O62:O66)</f>
        <v>12</v>
      </c>
      <c r="P67" s="113">
        <f>SUM(P62:P66)/N66</f>
        <v>0.79999999999999993</v>
      </c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25"/>
    </row>
    <row r="68" spans="12:36" x14ac:dyDescent="0.3">
      <c r="L68" s="2"/>
      <c r="M68" s="121"/>
      <c r="N68" s="37"/>
      <c r="O68" s="111"/>
      <c r="P68" s="112">
        <f>O67/(N66*R77)</f>
        <v>0.8</v>
      </c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25"/>
    </row>
    <row r="69" spans="12:36" x14ac:dyDescent="0.3">
      <c r="L69" s="2"/>
      <c r="M69" s="121"/>
      <c r="N69" s="37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25"/>
    </row>
    <row r="70" spans="12:36" x14ac:dyDescent="0.3">
      <c r="L70" s="2"/>
      <c r="M70" s="121"/>
      <c r="N70" s="37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25"/>
    </row>
    <row r="71" spans="12:36" x14ac:dyDescent="0.3">
      <c r="L71" s="2"/>
      <c r="M71" s="121"/>
      <c r="N71" s="37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25"/>
    </row>
    <row r="72" spans="12:36" x14ac:dyDescent="0.3">
      <c r="L72" s="2"/>
      <c r="M72" s="121"/>
      <c r="N72" s="37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25"/>
    </row>
    <row r="73" spans="12:36" x14ac:dyDescent="0.3">
      <c r="L73" s="2"/>
      <c r="M73" s="121"/>
      <c r="N73" s="37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25"/>
    </row>
    <row r="74" spans="12:36" x14ac:dyDescent="0.3">
      <c r="L74" s="2"/>
      <c r="M74" s="121"/>
      <c r="N74" s="37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25"/>
    </row>
    <row r="75" spans="12:36" x14ac:dyDescent="0.3">
      <c r="L75" s="2"/>
      <c r="M75" s="121"/>
      <c r="N75" s="37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25"/>
    </row>
    <row r="76" spans="12:36" x14ac:dyDescent="0.3">
      <c r="L76" s="2"/>
      <c r="M76" s="121"/>
      <c r="N76" s="37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25"/>
    </row>
    <row r="77" spans="12:36" x14ac:dyDescent="0.3">
      <c r="L77" s="2"/>
      <c r="M77" s="121"/>
      <c r="N77" s="37"/>
      <c r="O77" s="111"/>
      <c r="P77" s="111"/>
      <c r="Q77" s="115" t="s">
        <v>27</v>
      </c>
      <c r="R77" s="116">
        <v>3</v>
      </c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25"/>
    </row>
    <row r="78" spans="12:36" x14ac:dyDescent="0.3">
      <c r="L78" s="2"/>
      <c r="M78" s="121"/>
      <c r="N78" s="37"/>
      <c r="O78" s="111"/>
      <c r="P78" s="111"/>
      <c r="Q78" s="115" t="s">
        <v>26</v>
      </c>
      <c r="R78" s="117">
        <f>P68</f>
        <v>0.8</v>
      </c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25"/>
    </row>
    <row r="79" spans="12:36" x14ac:dyDescent="0.3">
      <c r="L79" s="2"/>
      <c r="M79" s="121"/>
      <c r="N79" s="37"/>
      <c r="O79" s="111"/>
      <c r="P79" s="111"/>
      <c r="Q79" s="111"/>
      <c r="R79" s="116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25"/>
    </row>
    <row r="80" spans="12:36" x14ac:dyDescent="0.3">
      <c r="L80" s="2"/>
      <c r="M80" s="121"/>
      <c r="N80" s="37"/>
      <c r="O80" s="111"/>
      <c r="P80" s="111"/>
      <c r="Q80" s="115" t="s">
        <v>28</v>
      </c>
      <c r="R80" s="116">
        <f>R78-2*SQRT((R78*(1-R78))/(R77))</f>
        <v>0.3381197846482995</v>
      </c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25"/>
    </row>
    <row r="81" spans="12:36" x14ac:dyDescent="0.3">
      <c r="L81" s="2"/>
      <c r="M81" s="121"/>
      <c r="N81" s="37"/>
      <c r="O81" s="111"/>
      <c r="P81" s="111"/>
      <c r="Q81" s="115" t="s">
        <v>29</v>
      </c>
      <c r="R81" s="117">
        <f>R78</f>
        <v>0.8</v>
      </c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25"/>
    </row>
    <row r="82" spans="12:36" x14ac:dyDescent="0.3">
      <c r="L82" s="2"/>
      <c r="M82" s="121"/>
      <c r="N82" s="37"/>
      <c r="O82" s="111"/>
      <c r="P82" s="111"/>
      <c r="Q82" s="115" t="s">
        <v>30</v>
      </c>
      <c r="R82" s="116">
        <f>R78+2*SQRT((R78*(1-R78))/(R77))</f>
        <v>1.2618802153517006</v>
      </c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25"/>
    </row>
    <row r="83" spans="12:36" x14ac:dyDescent="0.3">
      <c r="M83" s="121"/>
      <c r="N83" s="37"/>
      <c r="O83" s="111"/>
      <c r="P83" s="111"/>
      <c r="Q83" s="158" t="s">
        <v>79</v>
      </c>
      <c r="R83" s="116">
        <f>R78+1.33*SQRT((R78*(1-R78))/(R77))</f>
        <v>1.1071503432088809</v>
      </c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25"/>
    </row>
    <row r="84" spans="12:36" x14ac:dyDescent="0.3">
      <c r="M84" s="121"/>
      <c r="N84" s="37"/>
      <c r="O84" s="111"/>
      <c r="P84" s="111"/>
      <c r="Q84" s="158" t="s">
        <v>80</v>
      </c>
      <c r="R84" s="116">
        <f>R78-1.33*SQRT((R78*(1-R78))/(R77))</f>
        <v>0.4928496567911192</v>
      </c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25"/>
    </row>
    <row r="85" spans="12:36" x14ac:dyDescent="0.3">
      <c r="M85" s="121"/>
      <c r="N85" s="37"/>
      <c r="O85" s="111"/>
      <c r="P85" s="111"/>
      <c r="Q85" s="158" t="s">
        <v>81</v>
      </c>
      <c r="R85" s="116">
        <f>R78+0.67*SQRT((R78*(1-R78))/(R77))</f>
        <v>0.95472987214281968</v>
      </c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25"/>
    </row>
    <row r="86" spans="12:36" x14ac:dyDescent="0.3">
      <c r="M86" s="121"/>
      <c r="N86" s="37"/>
      <c r="O86" s="111"/>
      <c r="P86" s="111"/>
      <c r="Q86" s="158" t="s">
        <v>82</v>
      </c>
      <c r="R86" s="116">
        <f>R78-0.67*SQRT((R78*(1-R78))/(R77))</f>
        <v>0.64527012785718041</v>
      </c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25"/>
    </row>
    <row r="87" spans="12:36" x14ac:dyDescent="0.3">
      <c r="M87" s="121"/>
      <c r="N87" s="37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25"/>
    </row>
    <row r="88" spans="12:36" ht="15" thickBot="1" x14ac:dyDescent="0.35">
      <c r="M88" s="122"/>
      <c r="N88" s="38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1"/>
    </row>
    <row r="89" spans="12:36" x14ac:dyDescent="0.3">
      <c r="Z89" s="111"/>
      <c r="AA89" s="111"/>
      <c r="AB89" s="111"/>
      <c r="AC89" s="111"/>
    </row>
    <row r="90" spans="12:36" x14ac:dyDescent="0.3">
      <c r="Z90" s="111"/>
      <c r="AA90" s="111"/>
      <c r="AB90" s="111"/>
      <c r="AC90" s="111"/>
    </row>
    <row r="91" spans="12:36" x14ac:dyDescent="0.3">
      <c r="Z91" s="111"/>
      <c r="AA91" s="111"/>
      <c r="AB91" s="111"/>
      <c r="AC91" s="111"/>
    </row>
    <row r="92" spans="12:36" x14ac:dyDescent="0.3">
      <c r="Z92" s="111"/>
      <c r="AA92" s="111"/>
      <c r="AB92" s="111"/>
      <c r="AC92" s="111"/>
    </row>
    <row r="93" spans="12:36" x14ac:dyDescent="0.3">
      <c r="Z93" s="111"/>
      <c r="AA93" s="111"/>
      <c r="AB93" s="111"/>
      <c r="AC93" s="111"/>
    </row>
    <row r="94" spans="12:36" x14ac:dyDescent="0.3">
      <c r="Z94" s="111"/>
      <c r="AA94" s="111"/>
      <c r="AB94" s="111"/>
      <c r="AC94" s="111"/>
    </row>
    <row r="95" spans="12:36" x14ac:dyDescent="0.3">
      <c r="Z95" s="111"/>
      <c r="AA95" s="111"/>
      <c r="AB95" s="111"/>
      <c r="AC95" s="111"/>
    </row>
    <row r="96" spans="12:36" x14ac:dyDescent="0.3">
      <c r="Z96" s="111"/>
      <c r="AA96" s="111"/>
      <c r="AB96" s="111"/>
      <c r="AC96" s="111"/>
    </row>
    <row r="97" spans="26:29" x14ac:dyDescent="0.3">
      <c r="Z97" s="111"/>
      <c r="AA97" s="111"/>
      <c r="AB97" s="111"/>
      <c r="AC97" s="111"/>
    </row>
    <row r="98" spans="26:29" x14ac:dyDescent="0.3">
      <c r="Z98" s="111"/>
      <c r="AA98" s="111"/>
      <c r="AB98" s="111"/>
      <c r="AC98" s="111"/>
    </row>
    <row r="214" spans="1:14" x14ac:dyDescent="0.3">
      <c r="A214" s="183"/>
      <c r="B214" s="168"/>
      <c r="C214" s="167"/>
      <c r="D214" s="168"/>
      <c r="E214" s="167"/>
      <c r="F214" s="169"/>
      <c r="G214" s="169"/>
      <c r="H214" s="169"/>
      <c r="I214" s="169"/>
      <c r="J214" s="169"/>
      <c r="K214" s="169"/>
      <c r="L214" s="169"/>
      <c r="M214" s="169"/>
      <c r="N214" s="169"/>
    </row>
    <row r="215" spans="1:14" x14ac:dyDescent="0.3">
      <c r="A215" s="183"/>
      <c r="B215" s="181"/>
      <c r="C215" s="170"/>
      <c r="D215" s="181"/>
      <c r="E215" s="170"/>
      <c r="F215" s="169"/>
      <c r="G215" s="169"/>
      <c r="H215" s="169"/>
      <c r="I215" s="169"/>
      <c r="J215" s="169"/>
      <c r="K215" s="168"/>
      <c r="L215" s="170"/>
      <c r="M215" s="170"/>
      <c r="N215" s="169"/>
    </row>
    <row r="216" spans="1:14" x14ac:dyDescent="0.3">
      <c r="A216" s="183"/>
      <c r="B216" s="181"/>
      <c r="C216" s="170"/>
      <c r="D216" s="181"/>
      <c r="E216" s="170"/>
      <c r="F216" s="169"/>
      <c r="G216" s="169"/>
      <c r="H216" s="169"/>
      <c r="I216" s="169"/>
      <c r="J216" s="169"/>
      <c r="K216" s="168"/>
      <c r="L216" s="181"/>
      <c r="M216" s="170"/>
      <c r="N216" s="169"/>
    </row>
    <row r="217" spans="1:14" x14ac:dyDescent="0.3">
      <c r="A217" s="183"/>
      <c r="B217" s="181"/>
      <c r="C217" s="170"/>
      <c r="D217" s="181"/>
      <c r="E217" s="170"/>
      <c r="F217" s="169"/>
      <c r="G217" s="169"/>
      <c r="H217" s="169"/>
      <c r="I217" s="169"/>
      <c r="J217" s="169"/>
      <c r="K217" s="169"/>
      <c r="L217" s="170"/>
      <c r="M217" s="170"/>
      <c r="N217" s="169"/>
    </row>
    <row r="218" spans="1:14" x14ac:dyDescent="0.3">
      <c r="A218" s="183"/>
      <c r="B218" s="181"/>
      <c r="C218" s="170"/>
      <c r="D218" s="181"/>
      <c r="E218" s="170"/>
      <c r="F218" s="169"/>
      <c r="G218" s="169"/>
      <c r="H218" s="169"/>
      <c r="I218" s="169"/>
      <c r="J218" s="169"/>
      <c r="K218" s="168"/>
      <c r="L218" s="170"/>
      <c r="M218" s="182"/>
      <c r="N218" s="169"/>
    </row>
    <row r="219" spans="1:14" x14ac:dyDescent="0.3">
      <c r="A219" s="183"/>
      <c r="B219" s="181"/>
      <c r="C219" s="170"/>
      <c r="D219" s="181"/>
      <c r="E219" s="170"/>
      <c r="F219" s="169"/>
      <c r="G219" s="169"/>
      <c r="H219" s="169"/>
      <c r="I219" s="169"/>
      <c r="J219" s="169"/>
      <c r="K219" s="168"/>
      <c r="L219" s="181"/>
      <c r="M219" s="170"/>
      <c r="N219" s="169"/>
    </row>
    <row r="220" spans="1:14" x14ac:dyDescent="0.3">
      <c r="A220" s="183"/>
      <c r="B220" s="181"/>
      <c r="C220" s="170"/>
      <c r="D220" s="181"/>
      <c r="E220" s="170"/>
      <c r="F220" s="169"/>
      <c r="G220" s="169"/>
      <c r="H220" s="169"/>
      <c r="I220" s="169"/>
      <c r="J220" s="169"/>
      <c r="K220" s="168"/>
      <c r="L220" s="170"/>
      <c r="M220" s="170"/>
      <c r="N220" s="169"/>
    </row>
    <row r="221" spans="1:14" x14ac:dyDescent="0.3">
      <c r="A221" s="183"/>
      <c r="B221" s="181"/>
      <c r="C221" s="170"/>
      <c r="D221" s="181"/>
      <c r="E221" s="170"/>
      <c r="F221" s="169"/>
      <c r="G221" s="169"/>
      <c r="H221" s="169"/>
      <c r="I221" s="169"/>
      <c r="J221" s="169"/>
      <c r="K221" s="169"/>
      <c r="L221" s="169"/>
      <c r="M221" s="169"/>
      <c r="N221" s="169"/>
    </row>
    <row r="222" spans="1:14" x14ac:dyDescent="0.3">
      <c r="A222" s="183"/>
      <c r="B222" s="181"/>
      <c r="C222" s="170"/>
      <c r="D222" s="181"/>
      <c r="E222" s="170"/>
      <c r="F222" s="169"/>
      <c r="G222" s="169"/>
      <c r="H222" s="169"/>
      <c r="I222" s="169"/>
      <c r="J222" s="169"/>
      <c r="K222" s="169"/>
      <c r="L222" s="169"/>
      <c r="M222" s="169"/>
      <c r="N222" s="169"/>
    </row>
    <row r="223" spans="1:14" x14ac:dyDescent="0.3">
      <c r="A223" s="183"/>
      <c r="B223" s="181"/>
      <c r="C223" s="170"/>
      <c r="D223" s="181"/>
      <c r="E223" s="170"/>
      <c r="F223" s="169"/>
      <c r="G223" s="169"/>
      <c r="H223" s="169"/>
      <c r="I223" s="169"/>
      <c r="J223" s="169"/>
      <c r="K223" s="169"/>
      <c r="L223" s="169"/>
      <c r="M223" s="169"/>
      <c r="N223" s="169"/>
    </row>
    <row r="224" spans="1:14" x14ac:dyDescent="0.3">
      <c r="A224" s="183"/>
      <c r="B224" s="181"/>
      <c r="C224" s="170"/>
      <c r="D224" s="181"/>
      <c r="E224" s="170"/>
      <c r="F224" s="169"/>
      <c r="G224" s="169"/>
      <c r="H224" s="169"/>
      <c r="I224" s="169"/>
      <c r="J224" s="169"/>
      <c r="K224" s="169"/>
      <c r="L224" s="169"/>
      <c r="M224" s="169"/>
      <c r="N224" s="169"/>
    </row>
    <row r="225" spans="1:14" x14ac:dyDescent="0.3">
      <c r="A225" s="183"/>
      <c r="B225" s="181"/>
      <c r="C225" s="170"/>
      <c r="D225" s="181"/>
      <c r="E225" s="170"/>
      <c r="F225" s="169"/>
      <c r="G225" s="169"/>
      <c r="H225" s="169"/>
      <c r="I225" s="169"/>
      <c r="J225" s="169"/>
      <c r="K225" s="169"/>
      <c r="L225" s="169"/>
      <c r="M225" s="169"/>
      <c r="N225" s="169"/>
    </row>
    <row r="226" spans="1:14" x14ac:dyDescent="0.3">
      <c r="A226" s="183"/>
      <c r="B226" s="181"/>
      <c r="C226" s="170"/>
      <c r="D226" s="181"/>
      <c r="E226" s="170"/>
      <c r="F226" s="169"/>
      <c r="G226" s="169"/>
      <c r="H226" s="169"/>
      <c r="I226" s="169"/>
      <c r="J226" s="169"/>
      <c r="K226" s="169"/>
      <c r="L226" s="169"/>
      <c r="M226" s="169"/>
      <c r="N226" s="169"/>
    </row>
    <row r="227" spans="1:14" x14ac:dyDescent="0.3">
      <c r="A227" s="183"/>
      <c r="B227" s="181"/>
      <c r="C227" s="170"/>
      <c r="D227" s="181"/>
      <c r="E227" s="170"/>
      <c r="F227" s="169"/>
      <c r="G227" s="169"/>
      <c r="H227" s="169"/>
      <c r="I227" s="169"/>
      <c r="J227" s="169"/>
      <c r="K227" s="169"/>
      <c r="L227" s="169"/>
      <c r="M227" s="169"/>
      <c r="N227" s="169"/>
    </row>
    <row r="228" spans="1:14" x14ac:dyDescent="0.3">
      <c r="A228" s="183"/>
      <c r="B228" s="181"/>
      <c r="C228" s="170"/>
      <c r="D228" s="181"/>
      <c r="E228" s="170"/>
      <c r="F228" s="169"/>
      <c r="G228" s="169"/>
      <c r="H228" s="169"/>
      <c r="I228" s="169"/>
      <c r="J228" s="169"/>
      <c r="K228" s="169"/>
      <c r="L228" s="169"/>
      <c r="M228" s="169"/>
      <c r="N228" s="169"/>
    </row>
    <row r="229" spans="1:14" x14ac:dyDescent="0.3">
      <c r="A229" s="183"/>
      <c r="B229" s="181"/>
      <c r="C229" s="170"/>
      <c r="D229" s="181"/>
      <c r="E229" s="170"/>
      <c r="F229" s="169"/>
      <c r="G229" s="169"/>
      <c r="H229" s="169"/>
      <c r="I229" s="169"/>
      <c r="J229" s="169"/>
      <c r="K229" s="169"/>
      <c r="L229" s="169"/>
      <c r="M229" s="169"/>
      <c r="N229" s="169"/>
    </row>
    <row r="230" spans="1:14" x14ac:dyDescent="0.3">
      <c r="A230" s="183"/>
      <c r="B230" s="184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</row>
    <row r="231" spans="1:14" x14ac:dyDescent="0.3">
      <c r="A231" s="183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</row>
    <row r="232" spans="1:14" x14ac:dyDescent="0.3">
      <c r="A232" s="183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</row>
    <row r="233" spans="1:14" x14ac:dyDescent="0.3">
      <c r="A233" s="183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</row>
    <row r="234" spans="1:14" x14ac:dyDescent="0.3">
      <c r="A234" s="183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</row>
    <row r="235" spans="1:14" x14ac:dyDescent="0.3">
      <c r="A235" s="183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</row>
    <row r="236" spans="1:14" x14ac:dyDescent="0.3">
      <c r="A236" s="183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</row>
  </sheetData>
  <sortState xmlns:xlrd2="http://schemas.microsoft.com/office/spreadsheetml/2017/richdata2" ref="AA31:AC37">
    <sortCondition descending="1" ref="AB31:AB37"/>
  </sortState>
  <mergeCells count="67">
    <mergeCell ref="M30:M60"/>
    <mergeCell ref="M61:M88"/>
    <mergeCell ref="A214:A236"/>
    <mergeCell ref="M2:M23"/>
    <mergeCell ref="A22:A23"/>
    <mergeCell ref="A4:A5"/>
    <mergeCell ref="A6:A8"/>
    <mergeCell ref="A11:A12"/>
    <mergeCell ref="A13:A14"/>
    <mergeCell ref="A18:A19"/>
    <mergeCell ref="B4:B5"/>
    <mergeCell ref="C4:C5"/>
    <mergeCell ref="B6:B8"/>
    <mergeCell ref="C6:C8"/>
    <mergeCell ref="B11:B12"/>
    <mergeCell ref="C11:C12"/>
    <mergeCell ref="D22:D23"/>
    <mergeCell ref="B13:B14"/>
    <mergeCell ref="C13:C14"/>
    <mergeCell ref="B18:B19"/>
    <mergeCell ref="C18:C19"/>
    <mergeCell ref="B22:B23"/>
    <mergeCell ref="C22:C23"/>
    <mergeCell ref="D4:D5"/>
    <mergeCell ref="D6:D8"/>
    <mergeCell ref="D11:D12"/>
    <mergeCell ref="D13:D14"/>
    <mergeCell ref="D18:D19"/>
    <mergeCell ref="F4:F5"/>
    <mergeCell ref="G4:G5"/>
    <mergeCell ref="I4:I5"/>
    <mergeCell ref="J4:J5"/>
    <mergeCell ref="I1:K1"/>
    <mergeCell ref="H4:H5"/>
    <mergeCell ref="K4:K5"/>
    <mergeCell ref="I6:I8"/>
    <mergeCell ref="H6:H8"/>
    <mergeCell ref="F11:F12"/>
    <mergeCell ref="G11:G12"/>
    <mergeCell ref="I11:I12"/>
    <mergeCell ref="H11:H12"/>
    <mergeCell ref="N1:AJ1"/>
    <mergeCell ref="N27:AJ29"/>
    <mergeCell ref="F22:F23"/>
    <mergeCell ref="G22:G23"/>
    <mergeCell ref="I22:I23"/>
    <mergeCell ref="H22:H23"/>
    <mergeCell ref="F13:F14"/>
    <mergeCell ref="G13:G14"/>
    <mergeCell ref="I13:I14"/>
    <mergeCell ref="H13:H14"/>
    <mergeCell ref="F18:F19"/>
    <mergeCell ref="G18:G19"/>
    <mergeCell ref="I18:I19"/>
    <mergeCell ref="H18:H19"/>
    <mergeCell ref="F6:F8"/>
    <mergeCell ref="G6:G8"/>
    <mergeCell ref="J6:J8"/>
    <mergeCell ref="K6:K8"/>
    <mergeCell ref="J18:J19"/>
    <mergeCell ref="K18:K19"/>
    <mergeCell ref="J22:J23"/>
    <mergeCell ref="K22:K23"/>
    <mergeCell ref="J11:J12"/>
    <mergeCell ref="K11:K12"/>
    <mergeCell ref="K13:K14"/>
    <mergeCell ref="J13:J1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063A-1F7D-4906-A2B4-00A7FE3D43DA}">
  <dimension ref="A1:D42"/>
  <sheetViews>
    <sheetView zoomScale="65" workbookViewId="0">
      <selection activeCell="K14" sqref="K14"/>
    </sheetView>
  </sheetViews>
  <sheetFormatPr defaultRowHeight="14.4" x14ac:dyDescent="0.3"/>
  <cols>
    <col min="1" max="1" width="17.5546875" customWidth="1"/>
    <col min="2" max="2" width="21.44140625" customWidth="1"/>
    <col min="3" max="3" width="21" customWidth="1"/>
    <col min="4" max="4" width="23" customWidth="1"/>
  </cols>
  <sheetData>
    <row r="1" spans="1:4" ht="43.2" x14ac:dyDescent="0.3">
      <c r="A1" s="12" t="s">
        <v>0</v>
      </c>
      <c r="B1" s="12" t="s">
        <v>14</v>
      </c>
      <c r="C1" s="12" t="s">
        <v>15</v>
      </c>
      <c r="D1" s="12" t="s">
        <v>20</v>
      </c>
    </row>
    <row r="2" spans="1:4" x14ac:dyDescent="0.3">
      <c r="A2" s="5">
        <v>1</v>
      </c>
      <c r="B2" s="5">
        <v>2</v>
      </c>
      <c r="C2" s="5">
        <v>1</v>
      </c>
      <c r="D2" s="5" t="s">
        <v>5</v>
      </c>
    </row>
    <row r="3" spans="1:4" x14ac:dyDescent="0.3">
      <c r="A3" s="3">
        <v>2</v>
      </c>
      <c r="B3" s="3">
        <v>7</v>
      </c>
      <c r="C3" s="3">
        <v>0</v>
      </c>
      <c r="D3" s="3" t="s">
        <v>11</v>
      </c>
    </row>
    <row r="4" spans="1:4" x14ac:dyDescent="0.3">
      <c r="A4" s="5">
        <v>3</v>
      </c>
      <c r="B4" s="5">
        <v>3</v>
      </c>
      <c r="C4" s="5">
        <v>1</v>
      </c>
      <c r="D4" s="5" t="s">
        <v>6</v>
      </c>
    </row>
    <row r="5" spans="1:4" x14ac:dyDescent="0.3">
      <c r="A5" s="3">
        <v>4</v>
      </c>
      <c r="B5" s="3">
        <v>3</v>
      </c>
      <c r="C5" s="3">
        <v>1</v>
      </c>
      <c r="D5" s="3" t="s">
        <v>6</v>
      </c>
    </row>
    <row r="6" spans="1:4" x14ac:dyDescent="0.3">
      <c r="A6" s="5">
        <v>5</v>
      </c>
      <c r="B6" s="5">
        <v>4</v>
      </c>
      <c r="C6" s="5">
        <v>1</v>
      </c>
      <c r="D6" s="5" t="s">
        <v>7</v>
      </c>
    </row>
    <row r="7" spans="1:4" x14ac:dyDescent="0.3">
      <c r="A7" s="3">
        <v>6</v>
      </c>
      <c r="B7" s="3">
        <v>4</v>
      </c>
      <c r="C7" s="3">
        <v>1</v>
      </c>
      <c r="D7" s="3" t="s">
        <v>7</v>
      </c>
    </row>
    <row r="8" spans="1:4" x14ac:dyDescent="0.3">
      <c r="A8" s="5">
        <v>7</v>
      </c>
      <c r="B8" s="5">
        <v>1</v>
      </c>
      <c r="C8" s="5">
        <v>1</v>
      </c>
      <c r="D8" s="5" t="s">
        <v>5</v>
      </c>
    </row>
    <row r="9" spans="1:4" x14ac:dyDescent="0.3">
      <c r="A9" s="3">
        <v>8</v>
      </c>
      <c r="B9" s="3">
        <v>2</v>
      </c>
      <c r="C9" s="3">
        <v>1</v>
      </c>
      <c r="D9" s="3" t="s">
        <v>10</v>
      </c>
    </row>
    <row r="10" spans="1:4" x14ac:dyDescent="0.3">
      <c r="A10" s="5">
        <v>9</v>
      </c>
      <c r="B10" s="5">
        <v>3</v>
      </c>
      <c r="C10" s="5">
        <v>1</v>
      </c>
      <c r="D10" s="5" t="s">
        <v>6</v>
      </c>
    </row>
    <row r="11" spans="1:4" x14ac:dyDescent="0.3">
      <c r="A11" s="3">
        <v>10</v>
      </c>
      <c r="B11" s="3">
        <v>1</v>
      </c>
      <c r="C11" s="3">
        <v>1</v>
      </c>
      <c r="D11" s="3" t="s">
        <v>5</v>
      </c>
    </row>
    <row r="12" spans="1:4" x14ac:dyDescent="0.3">
      <c r="A12" s="5">
        <v>11</v>
      </c>
      <c r="B12" s="5">
        <v>1</v>
      </c>
      <c r="C12" s="5">
        <v>1</v>
      </c>
      <c r="D12" s="5" t="s">
        <v>5</v>
      </c>
    </row>
    <row r="13" spans="1:4" x14ac:dyDescent="0.3">
      <c r="A13" s="3">
        <v>12</v>
      </c>
      <c r="B13" s="3">
        <v>2</v>
      </c>
      <c r="C13" s="3">
        <v>1</v>
      </c>
      <c r="D13" s="3" t="s">
        <v>10</v>
      </c>
    </row>
    <row r="14" spans="1:4" x14ac:dyDescent="0.3">
      <c r="A14" s="5">
        <v>13</v>
      </c>
      <c r="B14" s="5">
        <v>4</v>
      </c>
      <c r="C14" s="5">
        <v>1</v>
      </c>
      <c r="D14" s="5" t="s">
        <v>7</v>
      </c>
    </row>
    <row r="15" spans="1:4" x14ac:dyDescent="0.3">
      <c r="A15" s="3">
        <v>14</v>
      </c>
      <c r="B15" s="3">
        <v>2</v>
      </c>
      <c r="C15" s="3">
        <v>1</v>
      </c>
      <c r="D15" s="3" t="s">
        <v>10</v>
      </c>
    </row>
    <row r="16" spans="1:4" x14ac:dyDescent="0.3">
      <c r="A16" s="5">
        <v>15</v>
      </c>
      <c r="B16" s="5">
        <v>3</v>
      </c>
      <c r="C16" s="5">
        <v>1</v>
      </c>
      <c r="D16" s="5" t="s">
        <v>6</v>
      </c>
    </row>
    <row r="17" spans="1:4" x14ac:dyDescent="0.3">
      <c r="A17" s="3">
        <v>16</v>
      </c>
      <c r="B17" s="3">
        <v>1</v>
      </c>
      <c r="C17" s="3">
        <v>1</v>
      </c>
      <c r="D17" s="3" t="s">
        <v>5</v>
      </c>
    </row>
    <row r="18" spans="1:4" x14ac:dyDescent="0.3">
      <c r="A18" s="5">
        <v>17</v>
      </c>
      <c r="B18" s="5">
        <v>1</v>
      </c>
      <c r="C18" s="5">
        <v>1</v>
      </c>
      <c r="D18" s="5" t="s">
        <v>5</v>
      </c>
    </row>
    <row r="19" spans="1:4" x14ac:dyDescent="0.3">
      <c r="A19" s="3">
        <v>18</v>
      </c>
      <c r="B19" s="3">
        <v>4</v>
      </c>
      <c r="C19" s="3">
        <v>1</v>
      </c>
      <c r="D19" s="3" t="s">
        <v>7</v>
      </c>
    </row>
    <row r="20" spans="1:4" x14ac:dyDescent="0.3">
      <c r="A20" s="5">
        <v>19</v>
      </c>
      <c r="B20" s="5">
        <v>2</v>
      </c>
      <c r="C20" s="5">
        <v>1</v>
      </c>
      <c r="D20" s="5" t="s">
        <v>10</v>
      </c>
    </row>
    <row r="21" spans="1:4" x14ac:dyDescent="0.3">
      <c r="A21" s="3">
        <v>20</v>
      </c>
      <c r="B21" s="3">
        <v>1</v>
      </c>
      <c r="C21" s="3">
        <v>1</v>
      </c>
      <c r="D21" s="3" t="s">
        <v>5</v>
      </c>
    </row>
    <row r="22" spans="1:4" ht="15" thickBot="1" x14ac:dyDescent="0.35">
      <c r="A22" s="7">
        <v>21</v>
      </c>
      <c r="B22" s="7">
        <v>2</v>
      </c>
      <c r="C22" s="7">
        <v>1</v>
      </c>
      <c r="D22" s="7" t="s">
        <v>10</v>
      </c>
    </row>
    <row r="23" spans="1:4" x14ac:dyDescent="0.3">
      <c r="A23" s="6">
        <v>22</v>
      </c>
      <c r="B23" s="6">
        <v>3</v>
      </c>
      <c r="C23" s="6">
        <v>1</v>
      </c>
      <c r="D23" s="6" t="s">
        <v>8</v>
      </c>
    </row>
    <row r="24" spans="1:4" x14ac:dyDescent="0.3">
      <c r="A24" s="5">
        <v>23</v>
      </c>
      <c r="B24" s="5">
        <v>3</v>
      </c>
      <c r="C24" s="5">
        <v>1</v>
      </c>
      <c r="D24" s="5" t="s">
        <v>8</v>
      </c>
    </row>
    <row r="25" spans="1:4" x14ac:dyDescent="0.3">
      <c r="A25" s="3">
        <v>24</v>
      </c>
      <c r="B25" s="3">
        <v>4</v>
      </c>
      <c r="C25" s="3">
        <v>1</v>
      </c>
      <c r="D25" s="3" t="s">
        <v>7</v>
      </c>
    </row>
    <row r="26" spans="1:4" x14ac:dyDescent="0.3">
      <c r="A26" s="5">
        <v>25</v>
      </c>
      <c r="B26" s="5">
        <v>3</v>
      </c>
      <c r="C26" s="5">
        <v>1</v>
      </c>
      <c r="D26" s="5" t="s">
        <v>8</v>
      </c>
    </row>
    <row r="27" spans="1:4" x14ac:dyDescent="0.3">
      <c r="A27" s="3">
        <v>26</v>
      </c>
      <c r="B27" s="3">
        <v>3</v>
      </c>
      <c r="C27" s="3">
        <v>1</v>
      </c>
      <c r="D27" s="3" t="s">
        <v>8</v>
      </c>
    </row>
    <row r="28" spans="1:4" x14ac:dyDescent="0.3">
      <c r="A28" s="5">
        <v>27</v>
      </c>
      <c r="B28" s="5">
        <v>7</v>
      </c>
      <c r="C28" s="5">
        <v>0</v>
      </c>
      <c r="D28" s="5" t="s">
        <v>11</v>
      </c>
    </row>
    <row r="29" spans="1:4" x14ac:dyDescent="0.3">
      <c r="A29" s="3">
        <v>28</v>
      </c>
      <c r="B29" s="3">
        <v>6</v>
      </c>
      <c r="C29" s="3">
        <v>1</v>
      </c>
      <c r="D29" s="3" t="s">
        <v>10</v>
      </c>
    </row>
    <row r="30" spans="1:4" x14ac:dyDescent="0.3">
      <c r="A30" s="5">
        <v>29</v>
      </c>
      <c r="B30" s="5">
        <v>3</v>
      </c>
      <c r="C30" s="5">
        <v>1</v>
      </c>
      <c r="D30" s="5" t="s">
        <v>8</v>
      </c>
    </row>
    <row r="31" spans="1:4" x14ac:dyDescent="0.3">
      <c r="A31" s="3">
        <v>30</v>
      </c>
      <c r="B31" s="3">
        <v>6</v>
      </c>
      <c r="C31" s="3">
        <v>1</v>
      </c>
      <c r="D31" s="3" t="s">
        <v>10</v>
      </c>
    </row>
    <row r="32" spans="1:4" x14ac:dyDescent="0.3">
      <c r="A32" s="5">
        <v>31</v>
      </c>
      <c r="B32" s="5">
        <v>3</v>
      </c>
      <c r="C32" s="5">
        <v>1</v>
      </c>
      <c r="D32" s="5" t="s">
        <v>8</v>
      </c>
    </row>
    <row r="33" spans="1:4" x14ac:dyDescent="0.3">
      <c r="A33" s="3">
        <v>32</v>
      </c>
      <c r="B33" s="3">
        <v>3</v>
      </c>
      <c r="C33" s="3">
        <v>1</v>
      </c>
      <c r="D33" s="3" t="s">
        <v>8</v>
      </c>
    </row>
    <row r="34" spans="1:4" x14ac:dyDescent="0.3">
      <c r="A34" s="5">
        <v>33</v>
      </c>
      <c r="B34" s="5">
        <v>4</v>
      </c>
      <c r="C34" s="5">
        <v>1</v>
      </c>
      <c r="D34" s="5" t="s">
        <v>7</v>
      </c>
    </row>
    <row r="35" spans="1:4" x14ac:dyDescent="0.3">
      <c r="A35" s="3">
        <v>34</v>
      </c>
      <c r="B35" s="3">
        <v>3</v>
      </c>
      <c r="C35" s="3">
        <v>1</v>
      </c>
      <c r="D35" s="3" t="s">
        <v>8</v>
      </c>
    </row>
    <row r="36" spans="1:4" x14ac:dyDescent="0.3">
      <c r="A36" s="5">
        <v>35</v>
      </c>
      <c r="B36" s="5">
        <v>3</v>
      </c>
      <c r="C36" s="5">
        <v>1</v>
      </c>
      <c r="D36" s="5" t="s">
        <v>8</v>
      </c>
    </row>
    <row r="37" spans="1:4" x14ac:dyDescent="0.3">
      <c r="A37" s="3">
        <v>36</v>
      </c>
      <c r="B37" s="3">
        <v>3</v>
      </c>
      <c r="C37" s="3">
        <v>1</v>
      </c>
      <c r="D37" s="3" t="s">
        <v>8</v>
      </c>
    </row>
    <row r="38" spans="1:4" x14ac:dyDescent="0.3">
      <c r="A38" s="5">
        <v>37</v>
      </c>
      <c r="B38" s="5">
        <v>3</v>
      </c>
      <c r="C38" s="5">
        <v>1</v>
      </c>
      <c r="D38" s="5" t="s">
        <v>8</v>
      </c>
    </row>
    <row r="39" spans="1:4" x14ac:dyDescent="0.3">
      <c r="A39" s="3">
        <v>38</v>
      </c>
      <c r="B39" s="3">
        <v>3</v>
      </c>
      <c r="C39" s="3">
        <v>1</v>
      </c>
      <c r="D39" s="3" t="s">
        <v>8</v>
      </c>
    </row>
    <row r="40" spans="1:4" x14ac:dyDescent="0.3">
      <c r="A40" s="5">
        <v>39</v>
      </c>
      <c r="B40" s="5">
        <v>7</v>
      </c>
      <c r="C40" s="5">
        <v>1</v>
      </c>
      <c r="D40" s="5" t="s">
        <v>5</v>
      </c>
    </row>
    <row r="41" spans="1:4" x14ac:dyDescent="0.3">
      <c r="A41" s="3">
        <v>40</v>
      </c>
      <c r="B41" s="3">
        <v>3</v>
      </c>
      <c r="C41" s="3">
        <v>1</v>
      </c>
      <c r="D41" s="3" t="s">
        <v>8</v>
      </c>
    </row>
    <row r="42" spans="1:4" x14ac:dyDescent="0.3">
      <c r="A42" s="9" t="s">
        <v>23</v>
      </c>
      <c r="B42" s="9">
        <f>SUM(B2:B41)</f>
        <v>126</v>
      </c>
      <c r="C42" s="9">
        <f>SUM(C2:C41)</f>
        <v>38</v>
      </c>
      <c r="D42" s="9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DA3E-C472-4680-9057-E93420760DF9}">
  <dimension ref="A1:AF187"/>
  <sheetViews>
    <sheetView tabSelected="1" zoomScale="58" zoomScaleNormal="71" workbookViewId="0">
      <selection activeCell="AA56" sqref="AA56"/>
    </sheetView>
  </sheetViews>
  <sheetFormatPr defaultRowHeight="14.4" x14ac:dyDescent="0.3"/>
  <cols>
    <col min="1" max="1" width="18.21875" style="2" customWidth="1"/>
    <col min="2" max="2" width="20.88671875" style="2" customWidth="1"/>
    <col min="3" max="3" width="24.5546875" style="2" customWidth="1"/>
    <col min="4" max="4" width="25.109375" style="2" customWidth="1"/>
    <col min="5" max="20" width="8.88671875" style="2"/>
    <col min="21" max="21" width="11.6640625" style="2" bestFit="1" customWidth="1"/>
    <col min="22" max="22" width="17" style="2" bestFit="1" customWidth="1"/>
    <col min="23" max="23" width="10.5546875" style="2" bestFit="1" customWidth="1"/>
    <col min="24" max="24" width="21" style="2" bestFit="1" customWidth="1"/>
    <col min="25" max="16384" width="8.88671875" style="2"/>
  </cols>
  <sheetData>
    <row r="1" spans="1:32" ht="43.8" thickBot="1" x14ac:dyDescent="0.35">
      <c r="A1" s="12" t="s">
        <v>0</v>
      </c>
      <c r="B1" s="12" t="s">
        <v>14</v>
      </c>
      <c r="C1" s="12" t="s">
        <v>15</v>
      </c>
      <c r="D1" s="12" t="s">
        <v>20</v>
      </c>
      <c r="G1" s="81" t="s">
        <v>68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3"/>
    </row>
    <row r="2" spans="1:32" ht="15" customHeight="1" x14ac:dyDescent="0.3">
      <c r="A2" s="5">
        <v>1</v>
      </c>
      <c r="B2" s="5">
        <v>2</v>
      </c>
      <c r="C2" s="5">
        <v>1</v>
      </c>
      <c r="D2" s="5" t="s">
        <v>5</v>
      </c>
      <c r="F2" s="127" t="s">
        <v>64</v>
      </c>
      <c r="G2" s="21" t="s">
        <v>65</v>
      </c>
      <c r="H2" s="22" t="s">
        <v>24</v>
      </c>
      <c r="I2" s="19" t="s">
        <v>66</v>
      </c>
      <c r="J2" s="22" t="s">
        <v>25</v>
      </c>
      <c r="K2" s="159" t="s">
        <v>79</v>
      </c>
      <c r="L2" s="159" t="s">
        <v>80</v>
      </c>
      <c r="M2" s="159" t="s">
        <v>81</v>
      </c>
      <c r="N2" s="159" t="s">
        <v>82</v>
      </c>
      <c r="O2" s="44"/>
      <c r="P2" s="44"/>
      <c r="Q2" s="44"/>
      <c r="R2" s="44"/>
      <c r="S2" s="44"/>
      <c r="T2" s="44"/>
      <c r="U2" s="44"/>
      <c r="V2" s="44"/>
      <c r="W2" s="161" t="s">
        <v>35</v>
      </c>
      <c r="X2" s="22" t="s">
        <v>36</v>
      </c>
      <c r="Y2" s="19" t="s">
        <v>37</v>
      </c>
      <c r="Z2" s="22" t="s">
        <v>38</v>
      </c>
      <c r="AA2" s="22" t="s">
        <v>39</v>
      </c>
      <c r="AB2" s="44"/>
      <c r="AC2" s="44"/>
      <c r="AD2" s="44"/>
      <c r="AE2" s="44"/>
      <c r="AF2" s="45"/>
    </row>
    <row r="3" spans="1:32" x14ac:dyDescent="0.3">
      <c r="A3" s="3">
        <v>2</v>
      </c>
      <c r="B3" s="3">
        <v>7</v>
      </c>
      <c r="C3" s="3">
        <v>0</v>
      </c>
      <c r="D3" s="3" t="s">
        <v>11</v>
      </c>
      <c r="F3" s="128"/>
      <c r="G3" s="86">
        <f>B2-C2</f>
        <v>1</v>
      </c>
      <c r="H3" s="5">
        <f>$S$7</f>
        <v>0</v>
      </c>
      <c r="I3" s="42">
        <f>$S$8</f>
        <v>2.2000000000000002</v>
      </c>
      <c r="J3" s="5">
        <f>$S$9</f>
        <v>5.4496153618543843</v>
      </c>
      <c r="K3" s="5">
        <f>$S$10</f>
        <v>4.3609942156331662</v>
      </c>
      <c r="L3" s="5">
        <f>$S$11</f>
        <v>3.9005784366834106E-2</v>
      </c>
      <c r="M3" s="5">
        <f>$S$12</f>
        <v>3.2886211462212191</v>
      </c>
      <c r="N3" s="5">
        <f>$S$13</f>
        <v>1.1113788537787812</v>
      </c>
      <c r="O3" s="116"/>
      <c r="P3" s="116"/>
      <c r="Q3" s="116"/>
      <c r="R3" s="116"/>
      <c r="S3" s="116"/>
      <c r="T3" s="116"/>
      <c r="U3" s="116"/>
      <c r="V3" s="116"/>
      <c r="W3" s="35" t="s">
        <v>8</v>
      </c>
      <c r="X3" s="3">
        <f>COUNTIF(D2:D41, "Red")</f>
        <v>13</v>
      </c>
      <c r="Y3" s="32">
        <f>X3/$X$10</f>
        <v>0.37142857142857144</v>
      </c>
      <c r="Z3" s="33">
        <f>Y3</f>
        <v>0.37142857142857144</v>
      </c>
      <c r="AA3" s="33">
        <v>0.8</v>
      </c>
      <c r="AB3" s="116"/>
      <c r="AC3" s="116"/>
      <c r="AD3" s="116"/>
      <c r="AE3" s="116"/>
      <c r="AF3" s="47"/>
    </row>
    <row r="4" spans="1:32" ht="14.4" customHeight="1" x14ac:dyDescent="0.3">
      <c r="A4" s="5">
        <v>3</v>
      </c>
      <c r="B4" s="5">
        <v>3</v>
      </c>
      <c r="C4" s="5">
        <v>1</v>
      </c>
      <c r="D4" s="5" t="s">
        <v>6</v>
      </c>
      <c r="F4" s="128"/>
      <c r="G4" s="86">
        <f>B3-C3</f>
        <v>7</v>
      </c>
      <c r="H4" s="5">
        <f>$S$7</f>
        <v>0</v>
      </c>
      <c r="I4" s="42">
        <f>$S$8</f>
        <v>2.2000000000000002</v>
      </c>
      <c r="J4" s="5">
        <f>$S$9</f>
        <v>5.4496153618543843</v>
      </c>
      <c r="K4" s="5">
        <f>$S$10</f>
        <v>4.3609942156331662</v>
      </c>
      <c r="L4" s="5">
        <f>$S$11</f>
        <v>3.9005784366834106E-2</v>
      </c>
      <c r="M4" s="5">
        <f t="shared" ref="M4:M42" si="0">$S$12</f>
        <v>3.2886211462212191</v>
      </c>
      <c r="N4" s="5">
        <f t="shared" ref="N4:N42" si="1">$S$13</f>
        <v>1.1113788537787812</v>
      </c>
      <c r="O4" s="116"/>
      <c r="P4" s="116"/>
      <c r="Q4" s="116"/>
      <c r="R4" s="115" t="s">
        <v>27</v>
      </c>
      <c r="S4" s="116">
        <v>40</v>
      </c>
      <c r="T4" s="116"/>
      <c r="U4" s="116"/>
      <c r="V4" s="116"/>
      <c r="W4" s="35" t="s">
        <v>5</v>
      </c>
      <c r="X4" s="3">
        <f>COUNTIF(D3:D42, "Dark blue")</f>
        <v>7</v>
      </c>
      <c r="Y4" s="32">
        <f>X4/$X$10</f>
        <v>0.2</v>
      </c>
      <c r="Z4" s="33">
        <f>Z3+Y4</f>
        <v>0.5714285714285714</v>
      </c>
      <c r="AA4" s="33">
        <v>0.8</v>
      </c>
      <c r="AB4" s="116"/>
      <c r="AC4" s="116"/>
      <c r="AD4" s="116"/>
      <c r="AE4" s="116"/>
      <c r="AF4" s="47"/>
    </row>
    <row r="5" spans="1:32" x14ac:dyDescent="0.3">
      <c r="A5" s="3">
        <v>4</v>
      </c>
      <c r="B5" s="3">
        <v>3</v>
      </c>
      <c r="C5" s="3">
        <v>1</v>
      </c>
      <c r="D5" s="3" t="s">
        <v>6</v>
      </c>
      <c r="F5" s="128"/>
      <c r="G5" s="86">
        <f>B4-C4</f>
        <v>2</v>
      </c>
      <c r="H5" s="5">
        <f>$S$7</f>
        <v>0</v>
      </c>
      <c r="I5" s="42">
        <f>$S$8</f>
        <v>2.2000000000000002</v>
      </c>
      <c r="J5" s="5">
        <f>$S$9</f>
        <v>5.4496153618543843</v>
      </c>
      <c r="K5" s="5">
        <f>$S$10</f>
        <v>4.3609942156331662</v>
      </c>
      <c r="L5" s="5">
        <f>$S$11</f>
        <v>3.9005784366834106E-2</v>
      </c>
      <c r="M5" s="5">
        <f t="shared" si="0"/>
        <v>3.2886211462212191</v>
      </c>
      <c r="N5" s="5">
        <f t="shared" si="1"/>
        <v>1.1113788537787812</v>
      </c>
      <c r="O5" s="116"/>
      <c r="P5" s="116"/>
      <c r="Q5" s="116"/>
      <c r="R5" s="115" t="s">
        <v>67</v>
      </c>
      <c r="S5" s="117">
        <f>G43/A41</f>
        <v>2.2000000000000002</v>
      </c>
      <c r="T5" s="116"/>
      <c r="U5" s="116"/>
      <c r="V5" s="116"/>
      <c r="W5" s="35" t="s">
        <v>10</v>
      </c>
      <c r="X5" s="3">
        <f>COUNTIF(D4:D43, "White")</f>
        <v>7</v>
      </c>
      <c r="Y5" s="32">
        <f>X5/$X$10</f>
        <v>0.2</v>
      </c>
      <c r="Z5" s="33">
        <f t="shared" ref="Z5:Z9" si="2">Z4+Y5</f>
        <v>0.77142857142857135</v>
      </c>
      <c r="AA5" s="33">
        <v>0.8</v>
      </c>
      <c r="AB5" s="116"/>
      <c r="AC5" s="116"/>
      <c r="AD5" s="116"/>
      <c r="AE5" s="116"/>
      <c r="AF5" s="47"/>
    </row>
    <row r="6" spans="1:32" x14ac:dyDescent="0.3">
      <c r="A6" s="5">
        <v>5</v>
      </c>
      <c r="B6" s="5">
        <v>4</v>
      </c>
      <c r="C6" s="5">
        <v>1</v>
      </c>
      <c r="D6" s="5" t="s">
        <v>7</v>
      </c>
      <c r="F6" s="128"/>
      <c r="G6" s="86">
        <f>B5-C5</f>
        <v>2</v>
      </c>
      <c r="H6" s="5">
        <f>$S$7</f>
        <v>0</v>
      </c>
      <c r="I6" s="42">
        <f>$S$8</f>
        <v>2.2000000000000002</v>
      </c>
      <c r="J6" s="5">
        <f>$S$9</f>
        <v>5.4496153618543843</v>
      </c>
      <c r="K6" s="5">
        <f>$S$10</f>
        <v>4.3609942156331662</v>
      </c>
      <c r="L6" s="5">
        <f>$S$11</f>
        <v>3.9005784366834106E-2</v>
      </c>
      <c r="M6" s="5">
        <f t="shared" si="0"/>
        <v>3.2886211462212191</v>
      </c>
      <c r="N6" s="5">
        <f t="shared" si="1"/>
        <v>1.1113788537787812</v>
      </c>
      <c r="O6" s="116"/>
      <c r="P6" s="116"/>
      <c r="Q6" s="116"/>
      <c r="R6" s="111"/>
      <c r="S6" s="116"/>
      <c r="T6" s="116"/>
      <c r="U6" s="116"/>
      <c r="V6" s="116"/>
      <c r="W6" s="35" t="s">
        <v>7</v>
      </c>
      <c r="X6" s="3">
        <f>COUNTIF(D5:D44, "Yellow")</f>
        <v>6</v>
      </c>
      <c r="Y6" s="32">
        <f>X6/$X$10</f>
        <v>0.17142857142857143</v>
      </c>
      <c r="Z6" s="33">
        <f t="shared" si="2"/>
        <v>0.94285714285714284</v>
      </c>
      <c r="AA6" s="33">
        <v>0.8</v>
      </c>
      <c r="AB6" s="116"/>
      <c r="AC6" s="116"/>
      <c r="AD6" s="116"/>
      <c r="AE6" s="116"/>
      <c r="AF6" s="47"/>
    </row>
    <row r="7" spans="1:32" x14ac:dyDescent="0.3">
      <c r="A7" s="3">
        <v>6</v>
      </c>
      <c r="B7" s="3">
        <v>4</v>
      </c>
      <c r="C7" s="3">
        <v>1</v>
      </c>
      <c r="D7" s="3" t="s">
        <v>7</v>
      </c>
      <c r="F7" s="128"/>
      <c r="G7" s="86">
        <f>B6-C6</f>
        <v>3</v>
      </c>
      <c r="H7" s="5">
        <f>$S$7</f>
        <v>0</v>
      </c>
      <c r="I7" s="42">
        <f>$S$8</f>
        <v>2.2000000000000002</v>
      </c>
      <c r="J7" s="5">
        <f>$S$9</f>
        <v>5.4496153618543843</v>
      </c>
      <c r="K7" s="5">
        <f>$S$10</f>
        <v>4.3609942156331662</v>
      </c>
      <c r="L7" s="5">
        <f>$S$11</f>
        <v>3.9005784366834106E-2</v>
      </c>
      <c r="M7" s="5">
        <f t="shared" si="0"/>
        <v>3.2886211462212191</v>
      </c>
      <c r="N7" s="5">
        <f t="shared" si="1"/>
        <v>1.1113788537787812</v>
      </c>
      <c r="O7" s="116"/>
      <c r="P7" s="116"/>
      <c r="Q7" s="116"/>
      <c r="R7" s="16" t="s">
        <v>28</v>
      </c>
      <c r="S7" s="116">
        <f>IF(T7&lt;0,0,T7)</f>
        <v>0</v>
      </c>
      <c r="T7" s="126">
        <f>S5-2*SQRT(S5*(S5-1))</f>
        <v>-1.0496153618543844</v>
      </c>
      <c r="U7" s="116"/>
      <c r="V7" s="116"/>
      <c r="W7" s="35" t="s">
        <v>6</v>
      </c>
      <c r="X7" s="3">
        <f>COUNTIF(D6:D45, "Orange")</f>
        <v>2</v>
      </c>
      <c r="Y7" s="32">
        <f>X7/$X$10</f>
        <v>5.7142857142857141E-2</v>
      </c>
      <c r="Z7" s="33">
        <f t="shared" si="2"/>
        <v>1</v>
      </c>
      <c r="AA7" s="33">
        <v>0.8</v>
      </c>
      <c r="AB7" s="116"/>
      <c r="AC7" s="116"/>
      <c r="AD7" s="116"/>
      <c r="AE7" s="116"/>
      <c r="AF7" s="47"/>
    </row>
    <row r="8" spans="1:32" x14ac:dyDescent="0.3">
      <c r="A8" s="5">
        <v>7</v>
      </c>
      <c r="B8" s="5">
        <v>1</v>
      </c>
      <c r="C8" s="5">
        <v>1</v>
      </c>
      <c r="D8" s="5" t="s">
        <v>5</v>
      </c>
      <c r="F8" s="128"/>
      <c r="G8" s="86">
        <f>B7-C7</f>
        <v>3</v>
      </c>
      <c r="H8" s="5">
        <f>$S$7</f>
        <v>0</v>
      </c>
      <c r="I8" s="42">
        <f>$S$8</f>
        <v>2.2000000000000002</v>
      </c>
      <c r="J8" s="5">
        <f>$S$9</f>
        <v>5.4496153618543843</v>
      </c>
      <c r="K8" s="5">
        <f>$S$10</f>
        <v>4.3609942156331662</v>
      </c>
      <c r="L8" s="5">
        <f>$S$11</f>
        <v>3.9005784366834106E-2</v>
      </c>
      <c r="M8" s="5">
        <f t="shared" si="0"/>
        <v>3.2886211462212191</v>
      </c>
      <c r="N8" s="5">
        <f t="shared" si="1"/>
        <v>1.1113788537787812</v>
      </c>
      <c r="O8" s="116"/>
      <c r="P8" s="116"/>
      <c r="Q8" s="116"/>
      <c r="R8" s="16" t="s">
        <v>29</v>
      </c>
      <c r="S8" s="117">
        <f>S5</f>
        <v>2.2000000000000002</v>
      </c>
      <c r="T8" s="116"/>
      <c r="U8" s="116"/>
      <c r="V8" s="116"/>
      <c r="W8" s="35" t="s">
        <v>33</v>
      </c>
      <c r="X8" s="3">
        <f>COUNTIF(D7:D46, "Light blue")</f>
        <v>0</v>
      </c>
      <c r="Y8" s="32">
        <f>X8/$X$10</f>
        <v>0</v>
      </c>
      <c r="Z8" s="33">
        <f t="shared" si="2"/>
        <v>1</v>
      </c>
      <c r="AA8" s="33">
        <v>0.8</v>
      </c>
      <c r="AB8" s="116"/>
      <c r="AC8" s="116"/>
      <c r="AD8" s="116"/>
      <c r="AE8" s="116"/>
      <c r="AF8" s="47"/>
    </row>
    <row r="9" spans="1:32" x14ac:dyDescent="0.3">
      <c r="A9" s="3">
        <v>8</v>
      </c>
      <c r="B9" s="3">
        <v>2</v>
      </c>
      <c r="C9" s="3">
        <v>1</v>
      </c>
      <c r="D9" s="3" t="s">
        <v>10</v>
      </c>
      <c r="F9" s="128"/>
      <c r="G9" s="86">
        <f>B8-C8</f>
        <v>0</v>
      </c>
      <c r="H9" s="5">
        <f>$S$7</f>
        <v>0</v>
      </c>
      <c r="I9" s="42">
        <f>$S$8</f>
        <v>2.2000000000000002</v>
      </c>
      <c r="J9" s="5">
        <f>$S$9</f>
        <v>5.4496153618543843</v>
      </c>
      <c r="K9" s="5">
        <f>$S$10</f>
        <v>4.3609942156331662</v>
      </c>
      <c r="L9" s="5">
        <f>$S$11</f>
        <v>3.9005784366834106E-2</v>
      </c>
      <c r="M9" s="5">
        <f t="shared" si="0"/>
        <v>3.2886211462212191</v>
      </c>
      <c r="N9" s="5">
        <f t="shared" si="1"/>
        <v>1.1113788537787812</v>
      </c>
      <c r="O9" s="116"/>
      <c r="P9" s="116"/>
      <c r="Q9" s="116"/>
      <c r="R9" s="115" t="s">
        <v>30</v>
      </c>
      <c r="S9" s="116">
        <f>S5+2*SQRT(S5*(S5-1))</f>
        <v>5.4496153618543843</v>
      </c>
      <c r="T9" s="116"/>
      <c r="U9" s="116"/>
      <c r="V9" s="116"/>
      <c r="W9" s="35" t="s">
        <v>34</v>
      </c>
      <c r="X9" s="3">
        <f>COUNTIF(D8:D47, "Green")</f>
        <v>0</v>
      </c>
      <c r="Y9" s="32">
        <f>X9/$X$10</f>
        <v>0</v>
      </c>
      <c r="Z9" s="33">
        <f t="shared" si="2"/>
        <v>1</v>
      </c>
      <c r="AA9" s="33">
        <v>0.8</v>
      </c>
      <c r="AB9" s="116"/>
      <c r="AC9" s="116"/>
      <c r="AD9" s="116"/>
      <c r="AE9" s="116"/>
      <c r="AF9" s="47"/>
    </row>
    <row r="10" spans="1:32" x14ac:dyDescent="0.3">
      <c r="A10" s="5">
        <v>9</v>
      </c>
      <c r="B10" s="5">
        <v>3</v>
      </c>
      <c r="C10" s="5">
        <v>1</v>
      </c>
      <c r="D10" s="5" t="s">
        <v>6</v>
      </c>
      <c r="F10" s="128"/>
      <c r="G10" s="86">
        <f>B9-C9</f>
        <v>1</v>
      </c>
      <c r="H10" s="5">
        <f>$S$7</f>
        <v>0</v>
      </c>
      <c r="I10" s="42">
        <f>$S$8</f>
        <v>2.2000000000000002</v>
      </c>
      <c r="J10" s="5">
        <f>$S$9</f>
        <v>5.4496153618543843</v>
      </c>
      <c r="K10" s="5">
        <f>$S$10</f>
        <v>4.3609942156331662</v>
      </c>
      <c r="L10" s="5">
        <f>$S$11</f>
        <v>3.9005784366834106E-2</v>
      </c>
      <c r="M10" s="5">
        <f t="shared" si="0"/>
        <v>3.2886211462212191</v>
      </c>
      <c r="N10" s="5">
        <f t="shared" si="1"/>
        <v>1.1113788537787812</v>
      </c>
      <c r="O10" s="116"/>
      <c r="P10" s="116"/>
      <c r="Q10" s="116"/>
      <c r="R10" s="158" t="s">
        <v>79</v>
      </c>
      <c r="S10" s="116">
        <f>S5+1.33*SQRT(S5*(S5-1))</f>
        <v>4.3609942156331662</v>
      </c>
      <c r="T10" s="116"/>
      <c r="U10" s="116"/>
      <c r="V10" s="116"/>
      <c r="W10" s="36" t="s">
        <v>17</v>
      </c>
      <c r="X10" s="9">
        <f>SUM(X3:X9)</f>
        <v>35</v>
      </c>
      <c r="Y10" s="142">
        <f>SUM(Y3:Y9)</f>
        <v>1</v>
      </c>
      <c r="Z10" s="116"/>
      <c r="AA10" s="116"/>
      <c r="AB10" s="116"/>
      <c r="AC10" s="116"/>
      <c r="AD10" s="116"/>
      <c r="AE10" s="116"/>
      <c r="AF10" s="47"/>
    </row>
    <row r="11" spans="1:32" x14ac:dyDescent="0.3">
      <c r="A11" s="3">
        <v>10</v>
      </c>
      <c r="B11" s="3">
        <v>1</v>
      </c>
      <c r="C11" s="3">
        <v>1</v>
      </c>
      <c r="D11" s="3" t="s">
        <v>5</v>
      </c>
      <c r="F11" s="128"/>
      <c r="G11" s="86">
        <f>B10-C10</f>
        <v>2</v>
      </c>
      <c r="H11" s="5">
        <f>$S$7</f>
        <v>0</v>
      </c>
      <c r="I11" s="42">
        <f>$S$8</f>
        <v>2.2000000000000002</v>
      </c>
      <c r="J11" s="5">
        <f>$S$9</f>
        <v>5.4496153618543843</v>
      </c>
      <c r="K11" s="5">
        <f>$S$10</f>
        <v>4.3609942156331662</v>
      </c>
      <c r="L11" s="5">
        <f>$S$11</f>
        <v>3.9005784366834106E-2</v>
      </c>
      <c r="M11" s="5">
        <f t="shared" si="0"/>
        <v>3.2886211462212191</v>
      </c>
      <c r="N11" s="5">
        <f t="shared" si="1"/>
        <v>1.1113788537787812</v>
      </c>
      <c r="O11" s="116"/>
      <c r="P11" s="116"/>
      <c r="Q11" s="116"/>
      <c r="R11" s="158" t="s">
        <v>80</v>
      </c>
      <c r="S11" s="116">
        <f>S5-1.33*SQRT(S5*(S5-1))</f>
        <v>3.9005784366834106E-2</v>
      </c>
      <c r="T11" s="116"/>
      <c r="U11" s="116"/>
      <c r="V11" s="116"/>
      <c r="W11" s="43"/>
      <c r="X11" s="116"/>
      <c r="Y11" s="116"/>
      <c r="Z11" s="116"/>
      <c r="AA11" s="116"/>
      <c r="AB11" s="116"/>
      <c r="AC11" s="116"/>
      <c r="AD11" s="116"/>
      <c r="AE11" s="116"/>
      <c r="AF11" s="47"/>
    </row>
    <row r="12" spans="1:32" x14ac:dyDescent="0.3">
      <c r="A12" s="5">
        <v>11</v>
      </c>
      <c r="B12" s="5">
        <v>1</v>
      </c>
      <c r="C12" s="5">
        <v>1</v>
      </c>
      <c r="D12" s="5" t="s">
        <v>5</v>
      </c>
      <c r="F12" s="128"/>
      <c r="G12" s="86">
        <f>B11-C11</f>
        <v>0</v>
      </c>
      <c r="H12" s="5">
        <f>$S$7</f>
        <v>0</v>
      </c>
      <c r="I12" s="42">
        <f>$S$8</f>
        <v>2.2000000000000002</v>
      </c>
      <c r="J12" s="5">
        <f>$S$9</f>
        <v>5.4496153618543843</v>
      </c>
      <c r="K12" s="5">
        <f>$S$10</f>
        <v>4.3609942156331662</v>
      </c>
      <c r="L12" s="5">
        <f>$S$11</f>
        <v>3.9005784366834106E-2</v>
      </c>
      <c r="M12" s="5">
        <f t="shared" si="0"/>
        <v>3.2886211462212191</v>
      </c>
      <c r="N12" s="5">
        <f t="shared" si="1"/>
        <v>1.1113788537787812</v>
      </c>
      <c r="O12" s="116"/>
      <c r="P12" s="116"/>
      <c r="Q12" s="116"/>
      <c r="R12" s="158" t="s">
        <v>81</v>
      </c>
      <c r="S12" s="116">
        <f>S5+0.67*SQRT(S5*(S5-1))</f>
        <v>3.2886211462212191</v>
      </c>
      <c r="T12" s="116"/>
      <c r="U12" s="116"/>
      <c r="V12" s="116"/>
      <c r="W12" s="43"/>
      <c r="X12" s="116"/>
      <c r="Y12" s="116"/>
      <c r="Z12" s="116"/>
      <c r="AA12" s="116"/>
      <c r="AB12" s="116"/>
      <c r="AC12" s="116"/>
      <c r="AD12" s="116"/>
      <c r="AE12" s="116"/>
      <c r="AF12" s="47"/>
    </row>
    <row r="13" spans="1:32" x14ac:dyDescent="0.3">
      <c r="A13" s="3">
        <v>12</v>
      </c>
      <c r="B13" s="3">
        <v>2</v>
      </c>
      <c r="C13" s="3">
        <v>1</v>
      </c>
      <c r="D13" s="3" t="s">
        <v>10</v>
      </c>
      <c r="F13" s="128"/>
      <c r="G13" s="86">
        <f>B12-C12</f>
        <v>0</v>
      </c>
      <c r="H13" s="5">
        <f>$S$7</f>
        <v>0</v>
      </c>
      <c r="I13" s="42">
        <f>$S$8</f>
        <v>2.2000000000000002</v>
      </c>
      <c r="J13" s="5">
        <f>$S$9</f>
        <v>5.4496153618543843</v>
      </c>
      <c r="K13" s="5">
        <f>$S$10</f>
        <v>4.3609942156331662</v>
      </c>
      <c r="L13" s="5">
        <f>$S$11</f>
        <v>3.9005784366834106E-2</v>
      </c>
      <c r="M13" s="5">
        <f t="shared" si="0"/>
        <v>3.2886211462212191</v>
      </c>
      <c r="N13" s="5">
        <f t="shared" si="1"/>
        <v>1.1113788537787812</v>
      </c>
      <c r="O13" s="116"/>
      <c r="P13" s="116"/>
      <c r="Q13" s="116"/>
      <c r="R13" s="158" t="s">
        <v>82</v>
      </c>
      <c r="S13" s="116">
        <f>S5-0.67*SQRT(S5*(S5-1))</f>
        <v>1.1113788537787812</v>
      </c>
      <c r="T13" s="116"/>
      <c r="U13" s="116"/>
      <c r="V13" s="116"/>
      <c r="W13" s="43"/>
      <c r="X13" s="116"/>
      <c r="Y13" s="116"/>
      <c r="Z13" s="116"/>
      <c r="AA13" s="116"/>
      <c r="AB13" s="116"/>
      <c r="AC13" s="116"/>
      <c r="AD13" s="116"/>
      <c r="AE13" s="116"/>
      <c r="AF13" s="47"/>
    </row>
    <row r="14" spans="1:32" x14ac:dyDescent="0.3">
      <c r="A14" s="5">
        <v>13</v>
      </c>
      <c r="B14" s="5">
        <v>4</v>
      </c>
      <c r="C14" s="5">
        <v>1</v>
      </c>
      <c r="D14" s="5" t="s">
        <v>7</v>
      </c>
      <c r="F14" s="128"/>
      <c r="G14" s="86">
        <f>B13-C13</f>
        <v>1</v>
      </c>
      <c r="H14" s="5">
        <f>$S$7</f>
        <v>0</v>
      </c>
      <c r="I14" s="42">
        <f>$S$8</f>
        <v>2.2000000000000002</v>
      </c>
      <c r="J14" s="5">
        <f>$S$9</f>
        <v>5.4496153618543843</v>
      </c>
      <c r="K14" s="5">
        <f>$S$10</f>
        <v>4.3609942156331662</v>
      </c>
      <c r="L14" s="5">
        <f>$S$11</f>
        <v>3.9005784366834106E-2</v>
      </c>
      <c r="M14" s="5">
        <f t="shared" si="0"/>
        <v>3.2886211462212191</v>
      </c>
      <c r="N14" s="5">
        <f t="shared" si="1"/>
        <v>1.1113788537787812</v>
      </c>
      <c r="O14" s="116"/>
      <c r="P14" s="116"/>
      <c r="Q14" s="116"/>
      <c r="R14" s="116"/>
      <c r="S14" s="116"/>
      <c r="T14" s="116"/>
      <c r="U14" s="116"/>
      <c r="V14" s="116"/>
      <c r="W14" s="43"/>
      <c r="X14" s="116"/>
      <c r="Y14" s="116"/>
      <c r="Z14" s="116"/>
      <c r="AA14" s="116"/>
      <c r="AB14" s="116"/>
      <c r="AC14" s="116"/>
      <c r="AD14" s="116"/>
      <c r="AE14" s="116"/>
      <c r="AF14" s="47"/>
    </row>
    <row r="15" spans="1:32" x14ac:dyDescent="0.3">
      <c r="A15" s="3">
        <v>14</v>
      </c>
      <c r="B15" s="3">
        <v>2</v>
      </c>
      <c r="C15" s="3">
        <v>1</v>
      </c>
      <c r="D15" s="3" t="s">
        <v>10</v>
      </c>
      <c r="F15" s="128"/>
      <c r="G15" s="86">
        <f>B14-C14</f>
        <v>3</v>
      </c>
      <c r="H15" s="5">
        <f>$S$7</f>
        <v>0</v>
      </c>
      <c r="I15" s="42">
        <f>$S$8</f>
        <v>2.2000000000000002</v>
      </c>
      <c r="J15" s="5">
        <f>$S$9</f>
        <v>5.4496153618543843</v>
      </c>
      <c r="K15" s="5">
        <f>$S$10</f>
        <v>4.3609942156331662</v>
      </c>
      <c r="L15" s="5">
        <f>$S$11</f>
        <v>3.9005784366834106E-2</v>
      </c>
      <c r="M15" s="5">
        <f t="shared" si="0"/>
        <v>3.2886211462212191</v>
      </c>
      <c r="N15" s="5">
        <f t="shared" si="1"/>
        <v>1.1113788537787812</v>
      </c>
      <c r="O15" s="116"/>
      <c r="P15" s="116"/>
      <c r="Q15" s="116"/>
      <c r="R15" s="116"/>
      <c r="S15" s="116"/>
      <c r="T15" s="116"/>
      <c r="U15" s="116"/>
      <c r="V15" s="116"/>
      <c r="W15" s="43"/>
      <c r="X15" s="116"/>
      <c r="Y15" s="116"/>
      <c r="Z15" s="116"/>
      <c r="AA15" s="116"/>
      <c r="AB15" s="116"/>
      <c r="AC15" s="116"/>
      <c r="AD15" s="116"/>
      <c r="AE15" s="116"/>
      <c r="AF15" s="47"/>
    </row>
    <row r="16" spans="1:32" x14ac:dyDescent="0.3">
      <c r="A16" s="5">
        <v>15</v>
      </c>
      <c r="B16" s="5">
        <v>3</v>
      </c>
      <c r="C16" s="5">
        <v>1</v>
      </c>
      <c r="D16" s="5" t="s">
        <v>6</v>
      </c>
      <c r="F16" s="128"/>
      <c r="G16" s="86">
        <f>B15-C15</f>
        <v>1</v>
      </c>
      <c r="H16" s="5">
        <f>$S$7</f>
        <v>0</v>
      </c>
      <c r="I16" s="42">
        <f>$S$8</f>
        <v>2.2000000000000002</v>
      </c>
      <c r="J16" s="5">
        <f>$S$9</f>
        <v>5.4496153618543843</v>
      </c>
      <c r="K16" s="5">
        <f>$S$10</f>
        <v>4.3609942156331662</v>
      </c>
      <c r="L16" s="5">
        <f>$S$11</f>
        <v>3.9005784366834106E-2</v>
      </c>
      <c r="M16" s="5">
        <f t="shared" si="0"/>
        <v>3.2886211462212191</v>
      </c>
      <c r="N16" s="5">
        <f t="shared" si="1"/>
        <v>1.1113788537787812</v>
      </c>
      <c r="O16" s="116"/>
      <c r="P16" s="116"/>
      <c r="Q16" s="116"/>
      <c r="R16" s="116"/>
      <c r="S16" s="116"/>
      <c r="T16" s="116"/>
      <c r="U16" s="116"/>
      <c r="V16" s="116"/>
      <c r="W16" s="43"/>
      <c r="X16" s="116"/>
      <c r="Y16" s="116"/>
      <c r="Z16" s="116"/>
      <c r="AA16" s="116"/>
      <c r="AB16" s="116"/>
      <c r="AC16" s="116"/>
      <c r="AD16" s="116"/>
      <c r="AE16" s="116"/>
      <c r="AF16" s="47"/>
    </row>
    <row r="17" spans="1:32" x14ac:dyDescent="0.3">
      <c r="A17" s="3">
        <v>16</v>
      </c>
      <c r="B17" s="3">
        <v>1</v>
      </c>
      <c r="C17" s="3">
        <v>1</v>
      </c>
      <c r="D17" s="3" t="s">
        <v>5</v>
      </c>
      <c r="F17" s="128"/>
      <c r="G17" s="86">
        <f>B16-C16</f>
        <v>2</v>
      </c>
      <c r="H17" s="5">
        <f>$S$7</f>
        <v>0</v>
      </c>
      <c r="I17" s="42">
        <f>$S$8</f>
        <v>2.2000000000000002</v>
      </c>
      <c r="J17" s="5">
        <f>$S$9</f>
        <v>5.4496153618543843</v>
      </c>
      <c r="K17" s="5">
        <f>$S$10</f>
        <v>4.3609942156331662</v>
      </c>
      <c r="L17" s="5">
        <f>$S$11</f>
        <v>3.9005784366834106E-2</v>
      </c>
      <c r="M17" s="5">
        <f t="shared" si="0"/>
        <v>3.2886211462212191</v>
      </c>
      <c r="N17" s="5">
        <f t="shared" si="1"/>
        <v>1.1113788537787812</v>
      </c>
      <c r="O17" s="116"/>
      <c r="P17" s="116"/>
      <c r="Q17" s="116"/>
      <c r="R17" s="116"/>
      <c r="S17" s="116"/>
      <c r="T17" s="116"/>
      <c r="U17" s="116"/>
      <c r="V17" s="116"/>
      <c r="W17" s="43"/>
      <c r="X17" s="116"/>
      <c r="Y17" s="116"/>
      <c r="Z17" s="116"/>
      <c r="AA17" s="116"/>
      <c r="AB17" s="116"/>
      <c r="AC17" s="116"/>
      <c r="AD17" s="116"/>
      <c r="AE17" s="116"/>
      <c r="AF17" s="47"/>
    </row>
    <row r="18" spans="1:32" x14ac:dyDescent="0.3">
      <c r="A18" s="5">
        <v>17</v>
      </c>
      <c r="B18" s="5">
        <v>1</v>
      </c>
      <c r="C18" s="5">
        <v>1</v>
      </c>
      <c r="D18" s="5" t="s">
        <v>5</v>
      </c>
      <c r="F18" s="128"/>
      <c r="G18" s="86">
        <f>B17-C17</f>
        <v>0</v>
      </c>
      <c r="H18" s="5">
        <f>$S$7</f>
        <v>0</v>
      </c>
      <c r="I18" s="42">
        <f>$S$8</f>
        <v>2.2000000000000002</v>
      </c>
      <c r="J18" s="5">
        <f>$S$9</f>
        <v>5.4496153618543843</v>
      </c>
      <c r="K18" s="5">
        <f>$S$10</f>
        <v>4.3609942156331662</v>
      </c>
      <c r="L18" s="5">
        <f>$S$11</f>
        <v>3.9005784366834106E-2</v>
      </c>
      <c r="M18" s="5">
        <f t="shared" si="0"/>
        <v>3.2886211462212191</v>
      </c>
      <c r="N18" s="5">
        <f t="shared" si="1"/>
        <v>1.1113788537787812</v>
      </c>
      <c r="O18" s="116"/>
      <c r="P18" s="116"/>
      <c r="Q18" s="116"/>
      <c r="R18" s="116"/>
      <c r="S18" s="116"/>
      <c r="T18" s="116"/>
      <c r="U18" s="116"/>
      <c r="V18" s="116"/>
      <c r="W18" s="43"/>
      <c r="X18" s="116"/>
      <c r="Y18" s="116"/>
      <c r="Z18" s="116"/>
      <c r="AA18" s="116"/>
      <c r="AB18" s="116"/>
      <c r="AC18" s="116"/>
      <c r="AD18" s="116"/>
      <c r="AE18" s="116"/>
      <c r="AF18" s="47"/>
    </row>
    <row r="19" spans="1:32" x14ac:dyDescent="0.3">
      <c r="A19" s="3">
        <v>18</v>
      </c>
      <c r="B19" s="3">
        <v>4</v>
      </c>
      <c r="C19" s="3">
        <v>1</v>
      </c>
      <c r="D19" s="3" t="s">
        <v>7</v>
      </c>
      <c r="F19" s="128"/>
      <c r="G19" s="86">
        <f>B18-C18</f>
        <v>0</v>
      </c>
      <c r="H19" s="5">
        <f>$S$7</f>
        <v>0</v>
      </c>
      <c r="I19" s="42">
        <f>$S$8</f>
        <v>2.2000000000000002</v>
      </c>
      <c r="J19" s="5">
        <f>$S$9</f>
        <v>5.4496153618543843</v>
      </c>
      <c r="K19" s="5">
        <f>$S$10</f>
        <v>4.3609942156331662</v>
      </c>
      <c r="L19" s="5">
        <f>$S$11</f>
        <v>3.9005784366834106E-2</v>
      </c>
      <c r="M19" s="5">
        <f t="shared" si="0"/>
        <v>3.2886211462212191</v>
      </c>
      <c r="N19" s="5">
        <f t="shared" si="1"/>
        <v>1.1113788537787812</v>
      </c>
      <c r="O19" s="116"/>
      <c r="P19" s="116"/>
      <c r="Q19" s="116"/>
      <c r="R19" s="116"/>
      <c r="S19" s="116"/>
      <c r="T19" s="116"/>
      <c r="U19" s="116"/>
      <c r="V19" s="116"/>
      <c r="W19" s="43"/>
      <c r="X19" s="116"/>
      <c r="Y19" s="116"/>
      <c r="Z19" s="116"/>
      <c r="AA19" s="116"/>
      <c r="AB19" s="116"/>
      <c r="AC19" s="116"/>
      <c r="AD19" s="116"/>
      <c r="AE19" s="116"/>
      <c r="AF19" s="47"/>
    </row>
    <row r="20" spans="1:32" x14ac:dyDescent="0.3">
      <c r="A20" s="5">
        <v>19</v>
      </c>
      <c r="B20" s="5">
        <v>2</v>
      </c>
      <c r="C20" s="5">
        <v>1</v>
      </c>
      <c r="D20" s="5" t="s">
        <v>10</v>
      </c>
      <c r="F20" s="128"/>
      <c r="G20" s="86">
        <f>B19-C19</f>
        <v>3</v>
      </c>
      <c r="H20" s="5">
        <f>$S$7</f>
        <v>0</v>
      </c>
      <c r="I20" s="42">
        <f>$S$8</f>
        <v>2.2000000000000002</v>
      </c>
      <c r="J20" s="5">
        <f>$S$9</f>
        <v>5.4496153618543843</v>
      </c>
      <c r="K20" s="5">
        <f>$S$10</f>
        <v>4.3609942156331662</v>
      </c>
      <c r="L20" s="5">
        <f>$S$11</f>
        <v>3.9005784366834106E-2</v>
      </c>
      <c r="M20" s="5">
        <f t="shared" si="0"/>
        <v>3.2886211462212191</v>
      </c>
      <c r="N20" s="5">
        <f t="shared" si="1"/>
        <v>1.1113788537787812</v>
      </c>
      <c r="O20" s="116"/>
      <c r="P20" s="116"/>
      <c r="Q20" s="116"/>
      <c r="R20" s="116"/>
      <c r="S20" s="116"/>
      <c r="T20" s="116"/>
      <c r="U20" s="116"/>
      <c r="V20" s="116"/>
      <c r="W20" s="43"/>
      <c r="X20" s="116"/>
      <c r="Y20" s="116"/>
      <c r="Z20" s="116"/>
      <c r="AA20" s="116"/>
      <c r="AB20" s="116"/>
      <c r="AC20" s="116"/>
      <c r="AD20" s="116"/>
      <c r="AE20" s="116"/>
      <c r="AF20" s="47"/>
    </row>
    <row r="21" spans="1:32" x14ac:dyDescent="0.3">
      <c r="A21" s="3">
        <v>20</v>
      </c>
      <c r="B21" s="3">
        <v>1</v>
      </c>
      <c r="C21" s="3">
        <v>1</v>
      </c>
      <c r="D21" s="3" t="s">
        <v>5</v>
      </c>
      <c r="F21" s="128"/>
      <c r="G21" s="86">
        <f>B20-C20</f>
        <v>1</v>
      </c>
      <c r="H21" s="5">
        <f>$S$7</f>
        <v>0</v>
      </c>
      <c r="I21" s="42">
        <f>$S$8</f>
        <v>2.2000000000000002</v>
      </c>
      <c r="J21" s="5">
        <f>$S$9</f>
        <v>5.4496153618543843</v>
      </c>
      <c r="K21" s="5">
        <f>$S$10</f>
        <v>4.3609942156331662</v>
      </c>
      <c r="L21" s="5">
        <f>$S$11</f>
        <v>3.9005784366834106E-2</v>
      </c>
      <c r="M21" s="5">
        <f t="shared" si="0"/>
        <v>3.2886211462212191</v>
      </c>
      <c r="N21" s="5">
        <f t="shared" si="1"/>
        <v>1.1113788537787812</v>
      </c>
      <c r="O21" s="116"/>
      <c r="P21" s="116"/>
      <c r="Q21" s="116"/>
      <c r="R21" s="116"/>
      <c r="S21" s="116"/>
      <c r="T21" s="116"/>
      <c r="U21" s="116"/>
      <c r="V21" s="116"/>
      <c r="W21" s="43"/>
      <c r="X21" s="116"/>
      <c r="Y21" s="116"/>
      <c r="Z21" s="116"/>
      <c r="AA21" s="116"/>
      <c r="AB21" s="116"/>
      <c r="AC21" s="116"/>
      <c r="AD21" s="116"/>
      <c r="AE21" s="116"/>
      <c r="AF21" s="47"/>
    </row>
    <row r="22" spans="1:32" ht="15" thickBot="1" x14ac:dyDescent="0.35">
      <c r="A22" s="7">
        <v>21</v>
      </c>
      <c r="B22" s="7">
        <v>2</v>
      </c>
      <c r="C22" s="7">
        <v>1</v>
      </c>
      <c r="D22" s="7" t="s">
        <v>10</v>
      </c>
      <c r="F22" s="128"/>
      <c r="G22" s="86">
        <f>B21-C21</f>
        <v>0</v>
      </c>
      <c r="H22" s="5">
        <f>$S$7</f>
        <v>0</v>
      </c>
      <c r="I22" s="42">
        <f>$S$8</f>
        <v>2.2000000000000002</v>
      </c>
      <c r="J22" s="5">
        <f>$S$9</f>
        <v>5.4496153618543843</v>
      </c>
      <c r="K22" s="5">
        <f>$S$10</f>
        <v>4.3609942156331662</v>
      </c>
      <c r="L22" s="5">
        <f>$S$11</f>
        <v>3.9005784366834106E-2</v>
      </c>
      <c r="M22" s="5">
        <f t="shared" si="0"/>
        <v>3.2886211462212191</v>
      </c>
      <c r="N22" s="5">
        <f t="shared" si="1"/>
        <v>1.1113788537787812</v>
      </c>
      <c r="O22" s="116"/>
      <c r="P22" s="116"/>
      <c r="Q22" s="116"/>
      <c r="R22" s="116"/>
      <c r="S22" s="116"/>
      <c r="T22" s="116"/>
      <c r="U22" s="116"/>
      <c r="V22" s="116"/>
      <c r="W22" s="43"/>
      <c r="X22" s="116"/>
      <c r="Y22" s="116"/>
      <c r="Z22" s="116"/>
      <c r="AA22" s="116"/>
      <c r="AB22" s="116"/>
      <c r="AC22" s="116"/>
      <c r="AD22" s="116"/>
      <c r="AE22" s="116"/>
      <c r="AF22" s="47"/>
    </row>
    <row r="23" spans="1:32" x14ac:dyDescent="0.3">
      <c r="A23" s="6">
        <v>22</v>
      </c>
      <c r="B23" s="6">
        <v>3</v>
      </c>
      <c r="C23" s="6">
        <v>1</v>
      </c>
      <c r="D23" s="6" t="s">
        <v>8</v>
      </c>
      <c r="F23" s="128"/>
      <c r="G23" s="86">
        <f>B22-C22</f>
        <v>1</v>
      </c>
      <c r="H23" s="5">
        <f>$S$7</f>
        <v>0</v>
      </c>
      <c r="I23" s="42">
        <f>$S$8</f>
        <v>2.2000000000000002</v>
      </c>
      <c r="J23" s="5">
        <f>$S$9</f>
        <v>5.4496153618543843</v>
      </c>
      <c r="K23" s="5">
        <f>$S$10</f>
        <v>4.3609942156331662</v>
      </c>
      <c r="L23" s="5">
        <f>$S$11</f>
        <v>3.9005784366834106E-2</v>
      </c>
      <c r="M23" s="5">
        <f t="shared" si="0"/>
        <v>3.2886211462212191</v>
      </c>
      <c r="N23" s="5">
        <f t="shared" si="1"/>
        <v>1.1113788537787812</v>
      </c>
      <c r="O23" s="116"/>
      <c r="P23" s="116"/>
      <c r="Q23" s="116"/>
      <c r="R23" s="116"/>
      <c r="S23" s="116"/>
      <c r="T23" s="116"/>
      <c r="U23" s="116"/>
      <c r="V23" s="116"/>
      <c r="W23" s="43"/>
      <c r="X23" s="116"/>
      <c r="Y23" s="116"/>
      <c r="Z23" s="116"/>
      <c r="AA23" s="116"/>
      <c r="AB23" s="116"/>
      <c r="AC23" s="116"/>
      <c r="AD23" s="116"/>
      <c r="AE23" s="116"/>
      <c r="AF23" s="47"/>
    </row>
    <row r="24" spans="1:32" x14ac:dyDescent="0.3">
      <c r="A24" s="5">
        <v>23</v>
      </c>
      <c r="B24" s="5">
        <v>3</v>
      </c>
      <c r="C24" s="5">
        <v>1</v>
      </c>
      <c r="D24" s="5" t="s">
        <v>8</v>
      </c>
      <c r="F24" s="128"/>
      <c r="G24" s="86">
        <f>B23-C23</f>
        <v>2</v>
      </c>
      <c r="H24" s="5">
        <f>$S$7</f>
        <v>0</v>
      </c>
      <c r="I24" s="42">
        <f>$S$8</f>
        <v>2.2000000000000002</v>
      </c>
      <c r="J24" s="5">
        <f>$S$9</f>
        <v>5.4496153618543843</v>
      </c>
      <c r="K24" s="5">
        <f>$S$10</f>
        <v>4.3609942156331662</v>
      </c>
      <c r="L24" s="5">
        <f>$S$11</f>
        <v>3.9005784366834106E-2</v>
      </c>
      <c r="M24" s="5">
        <f t="shared" si="0"/>
        <v>3.2886211462212191</v>
      </c>
      <c r="N24" s="5">
        <f t="shared" si="1"/>
        <v>1.1113788537787812</v>
      </c>
      <c r="O24" s="116"/>
      <c r="P24" s="116"/>
      <c r="Q24" s="116"/>
      <c r="R24" s="116"/>
      <c r="S24" s="116"/>
      <c r="T24" s="116"/>
      <c r="U24" s="116"/>
      <c r="V24" s="116"/>
      <c r="W24" s="43"/>
      <c r="X24" s="116"/>
      <c r="Y24" s="116"/>
      <c r="Z24" s="116"/>
      <c r="AA24" s="116"/>
      <c r="AB24" s="116"/>
      <c r="AC24" s="116"/>
      <c r="AD24" s="116"/>
      <c r="AE24" s="116"/>
      <c r="AF24" s="47"/>
    </row>
    <row r="25" spans="1:32" x14ac:dyDescent="0.3">
      <c r="A25" s="3">
        <v>24</v>
      </c>
      <c r="B25" s="3">
        <v>4</v>
      </c>
      <c r="C25" s="3">
        <v>1</v>
      </c>
      <c r="D25" s="3" t="s">
        <v>7</v>
      </c>
      <c r="F25" s="128"/>
      <c r="G25" s="86">
        <f>B24-C24</f>
        <v>2</v>
      </c>
      <c r="H25" s="5">
        <f>$S$7</f>
        <v>0</v>
      </c>
      <c r="I25" s="42">
        <f>$S$8</f>
        <v>2.2000000000000002</v>
      </c>
      <c r="J25" s="5">
        <f>$S$9</f>
        <v>5.4496153618543843</v>
      </c>
      <c r="K25" s="5">
        <f>$S$10</f>
        <v>4.3609942156331662</v>
      </c>
      <c r="L25" s="5">
        <f>$S$11</f>
        <v>3.9005784366834106E-2</v>
      </c>
      <c r="M25" s="5">
        <f t="shared" si="0"/>
        <v>3.2886211462212191</v>
      </c>
      <c r="N25" s="5">
        <f t="shared" si="1"/>
        <v>1.1113788537787812</v>
      </c>
      <c r="O25" s="116"/>
      <c r="P25" s="116"/>
      <c r="Q25" s="116"/>
      <c r="R25" s="116"/>
      <c r="S25" s="116"/>
      <c r="T25" s="116"/>
      <c r="U25" s="116"/>
      <c r="V25" s="116"/>
      <c r="W25" s="43"/>
      <c r="X25" s="116"/>
      <c r="Y25" s="116"/>
      <c r="Z25" s="116"/>
      <c r="AA25" s="116"/>
      <c r="AB25" s="116"/>
      <c r="AC25" s="116"/>
      <c r="AD25" s="116"/>
      <c r="AE25" s="116"/>
      <c r="AF25" s="47"/>
    </row>
    <row r="26" spans="1:32" x14ac:dyDescent="0.3">
      <c r="A26" s="5">
        <v>25</v>
      </c>
      <c r="B26" s="5">
        <v>3</v>
      </c>
      <c r="C26" s="5">
        <v>1</v>
      </c>
      <c r="D26" s="5" t="s">
        <v>8</v>
      </c>
      <c r="F26" s="128"/>
      <c r="G26" s="86">
        <f>B25-C25</f>
        <v>3</v>
      </c>
      <c r="H26" s="5">
        <f>$S$7</f>
        <v>0</v>
      </c>
      <c r="I26" s="42">
        <f>$S$8</f>
        <v>2.2000000000000002</v>
      </c>
      <c r="J26" s="5">
        <f>$S$9</f>
        <v>5.4496153618543843</v>
      </c>
      <c r="K26" s="5">
        <f>$S$10</f>
        <v>4.3609942156331662</v>
      </c>
      <c r="L26" s="5">
        <f>$S$11</f>
        <v>3.9005784366834106E-2</v>
      </c>
      <c r="M26" s="5">
        <f t="shared" si="0"/>
        <v>3.2886211462212191</v>
      </c>
      <c r="N26" s="5">
        <f t="shared" si="1"/>
        <v>1.1113788537787812</v>
      </c>
      <c r="O26" s="116"/>
      <c r="P26" s="116"/>
      <c r="Q26" s="116"/>
      <c r="R26" s="116"/>
      <c r="S26" s="116"/>
      <c r="T26" s="116"/>
      <c r="U26" s="116"/>
      <c r="V26" s="116"/>
      <c r="W26" s="43"/>
      <c r="X26" s="116"/>
      <c r="Y26" s="116"/>
      <c r="Z26" s="116"/>
      <c r="AA26" s="116"/>
      <c r="AB26" s="116"/>
      <c r="AC26" s="116"/>
      <c r="AD26" s="116"/>
      <c r="AE26" s="116"/>
      <c r="AF26" s="47"/>
    </row>
    <row r="27" spans="1:32" x14ac:dyDescent="0.3">
      <c r="A27" s="3">
        <v>26</v>
      </c>
      <c r="B27" s="3">
        <v>3</v>
      </c>
      <c r="C27" s="3">
        <v>1</v>
      </c>
      <c r="D27" s="3" t="s">
        <v>8</v>
      </c>
      <c r="F27" s="128"/>
      <c r="G27" s="86">
        <f>B26-C26</f>
        <v>2</v>
      </c>
      <c r="H27" s="5">
        <f>$S$7</f>
        <v>0</v>
      </c>
      <c r="I27" s="42">
        <f>$S$8</f>
        <v>2.2000000000000002</v>
      </c>
      <c r="J27" s="5">
        <f>$S$9</f>
        <v>5.4496153618543843</v>
      </c>
      <c r="K27" s="5">
        <f>$S$10</f>
        <v>4.3609942156331662</v>
      </c>
      <c r="L27" s="5">
        <f>$S$11</f>
        <v>3.9005784366834106E-2</v>
      </c>
      <c r="M27" s="5">
        <f t="shared" si="0"/>
        <v>3.2886211462212191</v>
      </c>
      <c r="N27" s="5">
        <f t="shared" si="1"/>
        <v>1.1113788537787812</v>
      </c>
      <c r="O27" s="116"/>
      <c r="P27" s="116"/>
      <c r="Q27" s="116"/>
      <c r="R27" s="116"/>
      <c r="S27" s="116"/>
      <c r="T27" s="116"/>
      <c r="U27" s="116"/>
      <c r="V27" s="116"/>
      <c r="W27" s="43"/>
      <c r="X27" s="116"/>
      <c r="Y27" s="116"/>
      <c r="Z27" s="116"/>
      <c r="AA27" s="116"/>
      <c r="AB27" s="116"/>
      <c r="AC27" s="116"/>
      <c r="AD27" s="116"/>
      <c r="AE27" s="116"/>
      <c r="AF27" s="47"/>
    </row>
    <row r="28" spans="1:32" x14ac:dyDescent="0.3">
      <c r="A28" s="5">
        <v>27</v>
      </c>
      <c r="B28" s="5">
        <v>7</v>
      </c>
      <c r="C28" s="5">
        <v>0</v>
      </c>
      <c r="D28" s="5" t="s">
        <v>11</v>
      </c>
      <c r="F28" s="128"/>
      <c r="G28" s="86">
        <f>B27-C27</f>
        <v>2</v>
      </c>
      <c r="H28" s="5">
        <f>$S$7</f>
        <v>0</v>
      </c>
      <c r="I28" s="42">
        <f>$S$8</f>
        <v>2.2000000000000002</v>
      </c>
      <c r="J28" s="5">
        <f>$S$9</f>
        <v>5.4496153618543843</v>
      </c>
      <c r="K28" s="5">
        <f>$S$10</f>
        <v>4.3609942156331662</v>
      </c>
      <c r="L28" s="5">
        <f>$S$11</f>
        <v>3.9005784366834106E-2</v>
      </c>
      <c r="M28" s="5">
        <f t="shared" si="0"/>
        <v>3.2886211462212191</v>
      </c>
      <c r="N28" s="5">
        <f t="shared" si="1"/>
        <v>1.1113788537787812</v>
      </c>
      <c r="O28" s="116"/>
      <c r="P28" s="116"/>
      <c r="Q28" s="116"/>
      <c r="R28" s="116"/>
      <c r="S28" s="116"/>
      <c r="T28" s="116"/>
      <c r="U28" s="116"/>
      <c r="V28" s="116"/>
      <c r="W28" s="43"/>
      <c r="X28" s="116"/>
      <c r="Y28" s="116"/>
      <c r="Z28" s="116"/>
      <c r="AA28" s="116"/>
      <c r="AB28" s="116"/>
      <c r="AC28" s="116"/>
      <c r="AD28" s="116"/>
      <c r="AE28" s="116"/>
      <c r="AF28" s="47"/>
    </row>
    <row r="29" spans="1:32" x14ac:dyDescent="0.3">
      <c r="A29" s="3">
        <v>28</v>
      </c>
      <c r="B29" s="3">
        <v>6</v>
      </c>
      <c r="C29" s="3">
        <v>1</v>
      </c>
      <c r="D29" s="3" t="s">
        <v>10</v>
      </c>
      <c r="F29" s="128"/>
      <c r="G29" s="86">
        <f>B28-C28</f>
        <v>7</v>
      </c>
      <c r="H29" s="5">
        <f>$S$7</f>
        <v>0</v>
      </c>
      <c r="I29" s="42">
        <f>$S$8</f>
        <v>2.2000000000000002</v>
      </c>
      <c r="J29" s="5">
        <f>$S$9</f>
        <v>5.4496153618543843</v>
      </c>
      <c r="K29" s="5">
        <f>$S$10</f>
        <v>4.3609942156331662</v>
      </c>
      <c r="L29" s="5">
        <f>$S$11</f>
        <v>3.9005784366834106E-2</v>
      </c>
      <c r="M29" s="5">
        <f t="shared" si="0"/>
        <v>3.2886211462212191</v>
      </c>
      <c r="N29" s="5">
        <f t="shared" si="1"/>
        <v>1.1113788537787812</v>
      </c>
      <c r="O29" s="116"/>
      <c r="P29" s="116"/>
      <c r="Q29" s="116"/>
      <c r="R29" s="116"/>
      <c r="S29" s="116"/>
      <c r="T29" s="116"/>
      <c r="U29" s="116"/>
      <c r="V29" s="116"/>
      <c r="W29" s="43"/>
      <c r="X29" s="116"/>
      <c r="Y29" s="116"/>
      <c r="Z29" s="116"/>
      <c r="AA29" s="116"/>
      <c r="AB29" s="116"/>
      <c r="AC29" s="116"/>
      <c r="AD29" s="116"/>
      <c r="AE29" s="116"/>
      <c r="AF29" s="47"/>
    </row>
    <row r="30" spans="1:32" x14ac:dyDescent="0.3">
      <c r="A30" s="5">
        <v>29</v>
      </c>
      <c r="B30" s="5">
        <v>3</v>
      </c>
      <c r="C30" s="5">
        <v>1</v>
      </c>
      <c r="D30" s="5" t="s">
        <v>8</v>
      </c>
      <c r="F30" s="128"/>
      <c r="G30" s="86">
        <f>B29-C29</f>
        <v>5</v>
      </c>
      <c r="H30" s="5">
        <f>$S$7</f>
        <v>0</v>
      </c>
      <c r="I30" s="42">
        <f>$S$8</f>
        <v>2.2000000000000002</v>
      </c>
      <c r="J30" s="5">
        <f>$S$9</f>
        <v>5.4496153618543843</v>
      </c>
      <c r="K30" s="5">
        <f>$S$10</f>
        <v>4.3609942156331662</v>
      </c>
      <c r="L30" s="5">
        <f>$S$11</f>
        <v>3.9005784366834106E-2</v>
      </c>
      <c r="M30" s="5">
        <f t="shared" si="0"/>
        <v>3.2886211462212191</v>
      </c>
      <c r="N30" s="5">
        <f t="shared" si="1"/>
        <v>1.1113788537787812</v>
      </c>
      <c r="O30" s="116"/>
      <c r="P30" s="116"/>
      <c r="Q30" s="116"/>
      <c r="R30" s="116"/>
      <c r="S30" s="116"/>
      <c r="T30" s="116"/>
      <c r="U30" s="116"/>
      <c r="V30" s="116"/>
      <c r="W30" s="43"/>
      <c r="X30" s="116"/>
      <c r="Y30" s="116"/>
      <c r="Z30" s="116"/>
      <c r="AA30" s="116"/>
      <c r="AB30" s="116"/>
      <c r="AC30" s="116"/>
      <c r="AD30" s="116"/>
      <c r="AE30" s="116"/>
      <c r="AF30" s="47"/>
    </row>
    <row r="31" spans="1:32" x14ac:dyDescent="0.3">
      <c r="A31" s="3">
        <v>30</v>
      </c>
      <c r="B31" s="3">
        <v>6</v>
      </c>
      <c r="C31" s="3">
        <v>1</v>
      </c>
      <c r="D31" s="3" t="s">
        <v>10</v>
      </c>
      <c r="F31" s="128"/>
      <c r="G31" s="86">
        <f>B30-C30</f>
        <v>2</v>
      </c>
      <c r="H31" s="5">
        <f>$S$7</f>
        <v>0</v>
      </c>
      <c r="I31" s="42">
        <f>$S$8</f>
        <v>2.2000000000000002</v>
      </c>
      <c r="J31" s="5">
        <f>$S$9</f>
        <v>5.4496153618543843</v>
      </c>
      <c r="K31" s="5">
        <f>$S$10</f>
        <v>4.3609942156331662</v>
      </c>
      <c r="L31" s="5">
        <f>$S$11</f>
        <v>3.9005784366834106E-2</v>
      </c>
      <c r="M31" s="5">
        <f t="shared" si="0"/>
        <v>3.2886211462212191</v>
      </c>
      <c r="N31" s="5">
        <f t="shared" si="1"/>
        <v>1.1113788537787812</v>
      </c>
      <c r="O31" s="116"/>
      <c r="P31" s="116"/>
      <c r="Q31" s="116"/>
      <c r="R31" s="116"/>
      <c r="S31" s="116"/>
      <c r="T31" s="116"/>
      <c r="U31" s="116"/>
      <c r="V31" s="116"/>
      <c r="W31" s="43"/>
      <c r="X31" s="116"/>
      <c r="Y31" s="116"/>
      <c r="Z31" s="116"/>
      <c r="AA31" s="116"/>
      <c r="AB31" s="116"/>
      <c r="AC31" s="116"/>
      <c r="AD31" s="116"/>
      <c r="AE31" s="116"/>
      <c r="AF31" s="47"/>
    </row>
    <row r="32" spans="1:32" x14ac:dyDescent="0.3">
      <c r="A32" s="5">
        <v>31</v>
      </c>
      <c r="B32" s="5">
        <v>3</v>
      </c>
      <c r="C32" s="5">
        <v>1</v>
      </c>
      <c r="D32" s="5" t="s">
        <v>8</v>
      </c>
      <c r="F32" s="128"/>
      <c r="G32" s="86">
        <f>B31-C31</f>
        <v>5</v>
      </c>
      <c r="H32" s="5">
        <f>$S$7</f>
        <v>0</v>
      </c>
      <c r="I32" s="42">
        <f>$S$8</f>
        <v>2.2000000000000002</v>
      </c>
      <c r="J32" s="5">
        <f>$S$9</f>
        <v>5.4496153618543843</v>
      </c>
      <c r="K32" s="5">
        <f>$S$10</f>
        <v>4.3609942156331662</v>
      </c>
      <c r="L32" s="5">
        <f>$S$11</f>
        <v>3.9005784366834106E-2</v>
      </c>
      <c r="M32" s="5">
        <f t="shared" si="0"/>
        <v>3.2886211462212191</v>
      </c>
      <c r="N32" s="5">
        <f t="shared" si="1"/>
        <v>1.1113788537787812</v>
      </c>
      <c r="O32" s="116"/>
      <c r="P32" s="116"/>
      <c r="Q32" s="116"/>
      <c r="R32" s="116"/>
      <c r="S32" s="116"/>
      <c r="T32" s="116"/>
      <c r="U32" s="116"/>
      <c r="V32" s="116"/>
      <c r="W32" s="43"/>
      <c r="X32" s="116"/>
      <c r="Y32" s="116"/>
      <c r="Z32" s="116"/>
      <c r="AA32" s="116"/>
      <c r="AB32" s="116"/>
      <c r="AC32" s="116"/>
      <c r="AD32" s="116"/>
      <c r="AE32" s="116"/>
      <c r="AF32" s="47"/>
    </row>
    <row r="33" spans="1:32" x14ac:dyDescent="0.3">
      <c r="A33" s="3">
        <v>32</v>
      </c>
      <c r="B33" s="3">
        <v>3</v>
      </c>
      <c r="C33" s="3">
        <v>1</v>
      </c>
      <c r="D33" s="3" t="s">
        <v>8</v>
      </c>
      <c r="F33" s="128"/>
      <c r="G33" s="86">
        <f>B32-C32</f>
        <v>2</v>
      </c>
      <c r="H33" s="5">
        <f>$S$7</f>
        <v>0</v>
      </c>
      <c r="I33" s="42">
        <f>$S$8</f>
        <v>2.2000000000000002</v>
      </c>
      <c r="J33" s="5">
        <f>$S$9</f>
        <v>5.4496153618543843</v>
      </c>
      <c r="K33" s="5">
        <f>$S$10</f>
        <v>4.3609942156331662</v>
      </c>
      <c r="L33" s="5">
        <f>$S$11</f>
        <v>3.9005784366834106E-2</v>
      </c>
      <c r="M33" s="5">
        <f t="shared" si="0"/>
        <v>3.2886211462212191</v>
      </c>
      <c r="N33" s="5">
        <f t="shared" si="1"/>
        <v>1.1113788537787812</v>
      </c>
      <c r="O33" s="116"/>
      <c r="P33" s="116"/>
      <c r="Q33" s="116"/>
      <c r="R33" s="116"/>
      <c r="S33" s="116"/>
      <c r="T33" s="116"/>
      <c r="U33" s="116"/>
      <c r="V33" s="116"/>
      <c r="W33" s="43"/>
      <c r="X33" s="116"/>
      <c r="Y33" s="116"/>
      <c r="Z33" s="116"/>
      <c r="AA33" s="116"/>
      <c r="AB33" s="116"/>
      <c r="AC33" s="116"/>
      <c r="AD33" s="116"/>
      <c r="AE33" s="116"/>
      <c r="AF33" s="47"/>
    </row>
    <row r="34" spans="1:32" x14ac:dyDescent="0.3">
      <c r="A34" s="5">
        <v>33</v>
      </c>
      <c r="B34" s="5">
        <v>4</v>
      </c>
      <c r="C34" s="5">
        <v>1</v>
      </c>
      <c r="D34" s="5" t="s">
        <v>7</v>
      </c>
      <c r="F34" s="128"/>
      <c r="G34" s="86">
        <f>B33-C33</f>
        <v>2</v>
      </c>
      <c r="H34" s="5">
        <f>$S$7</f>
        <v>0</v>
      </c>
      <c r="I34" s="42">
        <f>$S$8</f>
        <v>2.2000000000000002</v>
      </c>
      <c r="J34" s="5">
        <f>$S$9</f>
        <v>5.4496153618543843</v>
      </c>
      <c r="K34" s="5">
        <f>$S$10</f>
        <v>4.3609942156331662</v>
      </c>
      <c r="L34" s="5">
        <f>$S$11</f>
        <v>3.9005784366834106E-2</v>
      </c>
      <c r="M34" s="5">
        <f t="shared" si="0"/>
        <v>3.2886211462212191</v>
      </c>
      <c r="N34" s="5">
        <f t="shared" si="1"/>
        <v>1.1113788537787812</v>
      </c>
      <c r="O34" s="116"/>
      <c r="P34" s="116"/>
      <c r="Q34" s="116"/>
      <c r="R34" s="116"/>
      <c r="S34" s="116"/>
      <c r="T34" s="116"/>
      <c r="U34" s="116"/>
      <c r="V34" s="116"/>
      <c r="W34" s="43"/>
      <c r="X34" s="116"/>
      <c r="Y34" s="116"/>
      <c r="Z34" s="116"/>
      <c r="AA34" s="116"/>
      <c r="AB34" s="116"/>
      <c r="AC34" s="116"/>
      <c r="AD34" s="116"/>
      <c r="AE34" s="116"/>
      <c r="AF34" s="47"/>
    </row>
    <row r="35" spans="1:32" x14ac:dyDescent="0.3">
      <c r="A35" s="3">
        <v>34</v>
      </c>
      <c r="B35" s="3">
        <v>3</v>
      </c>
      <c r="C35" s="3">
        <v>1</v>
      </c>
      <c r="D35" s="3" t="s">
        <v>8</v>
      </c>
      <c r="F35" s="128"/>
      <c r="G35" s="86">
        <f>B34-C34</f>
        <v>3</v>
      </c>
      <c r="H35" s="5">
        <f>$S$7</f>
        <v>0</v>
      </c>
      <c r="I35" s="42">
        <f>$S$8</f>
        <v>2.2000000000000002</v>
      </c>
      <c r="J35" s="5">
        <f>$S$9</f>
        <v>5.4496153618543843</v>
      </c>
      <c r="K35" s="5">
        <f>$S$10</f>
        <v>4.3609942156331662</v>
      </c>
      <c r="L35" s="5">
        <f>$S$11</f>
        <v>3.9005784366834106E-2</v>
      </c>
      <c r="M35" s="5">
        <f t="shared" si="0"/>
        <v>3.2886211462212191</v>
      </c>
      <c r="N35" s="5">
        <f t="shared" si="1"/>
        <v>1.1113788537787812</v>
      </c>
      <c r="O35" s="116"/>
      <c r="P35" s="116"/>
      <c r="Q35" s="116"/>
      <c r="R35" s="116"/>
      <c r="S35" s="116"/>
      <c r="T35" s="116"/>
      <c r="U35" s="116"/>
      <c r="V35" s="116"/>
      <c r="W35" s="43"/>
      <c r="X35" s="116"/>
      <c r="Y35" s="116"/>
      <c r="Z35" s="116"/>
      <c r="AA35" s="116"/>
      <c r="AB35" s="116"/>
      <c r="AC35" s="116"/>
      <c r="AD35" s="116"/>
      <c r="AE35" s="116"/>
      <c r="AF35" s="47"/>
    </row>
    <row r="36" spans="1:32" x14ac:dyDescent="0.3">
      <c r="A36" s="5">
        <v>35</v>
      </c>
      <c r="B36" s="5">
        <v>3</v>
      </c>
      <c r="C36" s="5">
        <v>1</v>
      </c>
      <c r="D36" s="5" t="s">
        <v>8</v>
      </c>
      <c r="F36" s="128"/>
      <c r="G36" s="86">
        <f>B35-C35</f>
        <v>2</v>
      </c>
      <c r="H36" s="5">
        <f>$S$7</f>
        <v>0</v>
      </c>
      <c r="I36" s="42">
        <f>$S$8</f>
        <v>2.2000000000000002</v>
      </c>
      <c r="J36" s="5">
        <f>$S$9</f>
        <v>5.4496153618543843</v>
      </c>
      <c r="K36" s="5">
        <f>$S$10</f>
        <v>4.3609942156331662</v>
      </c>
      <c r="L36" s="5">
        <f>$S$11</f>
        <v>3.9005784366834106E-2</v>
      </c>
      <c r="M36" s="5">
        <f t="shared" si="0"/>
        <v>3.2886211462212191</v>
      </c>
      <c r="N36" s="5">
        <f t="shared" si="1"/>
        <v>1.1113788537787812</v>
      </c>
      <c r="O36" s="116"/>
      <c r="P36" s="116"/>
      <c r="Q36" s="116"/>
      <c r="R36" s="116"/>
      <c r="S36" s="116"/>
      <c r="T36" s="116"/>
      <c r="U36" s="116"/>
      <c r="V36" s="116"/>
      <c r="W36" s="43"/>
      <c r="X36" s="116"/>
      <c r="Y36" s="116"/>
      <c r="Z36" s="116"/>
      <c r="AA36" s="116"/>
      <c r="AB36" s="116"/>
      <c r="AC36" s="116"/>
      <c r="AD36" s="116"/>
      <c r="AE36" s="116"/>
      <c r="AF36" s="47"/>
    </row>
    <row r="37" spans="1:32" x14ac:dyDescent="0.3">
      <c r="A37" s="3">
        <v>36</v>
      </c>
      <c r="B37" s="3">
        <v>3</v>
      </c>
      <c r="C37" s="3">
        <v>1</v>
      </c>
      <c r="D37" s="3" t="s">
        <v>8</v>
      </c>
      <c r="F37" s="128"/>
      <c r="G37" s="86">
        <f>B36-C36</f>
        <v>2</v>
      </c>
      <c r="H37" s="5">
        <f>$S$7</f>
        <v>0</v>
      </c>
      <c r="I37" s="42">
        <f>$S$8</f>
        <v>2.2000000000000002</v>
      </c>
      <c r="J37" s="5">
        <f>$S$9</f>
        <v>5.4496153618543843</v>
      </c>
      <c r="K37" s="5">
        <f>$S$10</f>
        <v>4.3609942156331662</v>
      </c>
      <c r="L37" s="5">
        <f>$S$11</f>
        <v>3.9005784366834106E-2</v>
      </c>
      <c r="M37" s="5">
        <f t="shared" si="0"/>
        <v>3.2886211462212191</v>
      </c>
      <c r="N37" s="5">
        <f t="shared" si="1"/>
        <v>1.1113788537787812</v>
      </c>
      <c r="O37" s="116"/>
      <c r="P37" s="116"/>
      <c r="Q37" s="116"/>
      <c r="R37" s="116"/>
      <c r="S37" s="116"/>
      <c r="T37" s="116"/>
      <c r="U37" s="116"/>
      <c r="V37" s="116"/>
      <c r="W37" s="43"/>
      <c r="X37" s="116"/>
      <c r="Y37" s="116"/>
      <c r="Z37" s="116"/>
      <c r="AA37" s="116"/>
      <c r="AB37" s="116"/>
      <c r="AC37" s="116"/>
      <c r="AD37" s="116"/>
      <c r="AE37" s="116"/>
      <c r="AF37" s="47"/>
    </row>
    <row r="38" spans="1:32" x14ac:dyDescent="0.3">
      <c r="A38" s="5">
        <v>37</v>
      </c>
      <c r="B38" s="5">
        <v>3</v>
      </c>
      <c r="C38" s="5">
        <v>1</v>
      </c>
      <c r="D38" s="5" t="s">
        <v>8</v>
      </c>
      <c r="F38" s="128"/>
      <c r="G38" s="86">
        <f>B37-C37</f>
        <v>2</v>
      </c>
      <c r="H38" s="5">
        <f>$S$7</f>
        <v>0</v>
      </c>
      <c r="I38" s="42">
        <f>$S$8</f>
        <v>2.2000000000000002</v>
      </c>
      <c r="J38" s="5">
        <f>$S$9</f>
        <v>5.4496153618543843</v>
      </c>
      <c r="K38" s="5">
        <f>$S$10</f>
        <v>4.3609942156331662</v>
      </c>
      <c r="L38" s="5">
        <f>$S$11</f>
        <v>3.9005784366834106E-2</v>
      </c>
      <c r="M38" s="5">
        <f t="shared" si="0"/>
        <v>3.2886211462212191</v>
      </c>
      <c r="N38" s="5">
        <f t="shared" si="1"/>
        <v>1.1113788537787812</v>
      </c>
      <c r="O38" s="116"/>
      <c r="P38" s="116"/>
      <c r="Q38" s="116"/>
      <c r="R38" s="116"/>
      <c r="S38" s="116"/>
      <c r="T38" s="116"/>
      <c r="U38" s="116"/>
      <c r="V38" s="116"/>
      <c r="W38" s="43"/>
      <c r="X38" s="116"/>
      <c r="Y38" s="116"/>
      <c r="Z38" s="116"/>
      <c r="AA38" s="116"/>
      <c r="AB38" s="116"/>
      <c r="AC38" s="116"/>
      <c r="AD38" s="116"/>
      <c r="AE38" s="116"/>
      <c r="AF38" s="47"/>
    </row>
    <row r="39" spans="1:32" x14ac:dyDescent="0.3">
      <c r="A39" s="3">
        <v>38</v>
      </c>
      <c r="B39" s="3">
        <v>3</v>
      </c>
      <c r="C39" s="3">
        <v>1</v>
      </c>
      <c r="D39" s="3" t="s">
        <v>8</v>
      </c>
      <c r="F39" s="128"/>
      <c r="G39" s="86">
        <f>B38-C38</f>
        <v>2</v>
      </c>
      <c r="H39" s="5">
        <f>$S$7</f>
        <v>0</v>
      </c>
      <c r="I39" s="42">
        <f>$S$8</f>
        <v>2.2000000000000002</v>
      </c>
      <c r="J39" s="5">
        <f>$S$9</f>
        <v>5.4496153618543843</v>
      </c>
      <c r="K39" s="5">
        <f>$S$10</f>
        <v>4.3609942156331662</v>
      </c>
      <c r="L39" s="5">
        <f>$S$11</f>
        <v>3.9005784366834106E-2</v>
      </c>
      <c r="M39" s="5">
        <f t="shared" si="0"/>
        <v>3.2886211462212191</v>
      </c>
      <c r="N39" s="5">
        <f t="shared" si="1"/>
        <v>1.1113788537787812</v>
      </c>
      <c r="O39" s="116"/>
      <c r="P39" s="116"/>
      <c r="Q39" s="116"/>
      <c r="R39" s="116"/>
      <c r="S39" s="116"/>
      <c r="T39" s="116"/>
      <c r="U39" s="116"/>
      <c r="V39" s="116"/>
      <c r="W39" s="43"/>
      <c r="X39" s="116"/>
      <c r="Y39" s="116"/>
      <c r="Z39" s="116"/>
      <c r="AA39" s="116"/>
      <c r="AB39" s="116"/>
      <c r="AC39" s="116"/>
      <c r="AD39" s="116"/>
      <c r="AE39" s="116"/>
      <c r="AF39" s="47"/>
    </row>
    <row r="40" spans="1:32" x14ac:dyDescent="0.3">
      <c r="A40" s="5">
        <v>39</v>
      </c>
      <c r="B40" s="5">
        <v>7</v>
      </c>
      <c r="C40" s="5">
        <v>1</v>
      </c>
      <c r="D40" s="5" t="s">
        <v>5</v>
      </c>
      <c r="F40" s="128"/>
      <c r="G40" s="86">
        <f>B39-C39</f>
        <v>2</v>
      </c>
      <c r="H40" s="5">
        <f>$S$7</f>
        <v>0</v>
      </c>
      <c r="I40" s="42">
        <f>$S$8</f>
        <v>2.2000000000000002</v>
      </c>
      <c r="J40" s="5">
        <f>$S$9</f>
        <v>5.4496153618543843</v>
      </c>
      <c r="K40" s="5">
        <f>$S$10</f>
        <v>4.3609942156331662</v>
      </c>
      <c r="L40" s="5">
        <f>$S$11</f>
        <v>3.9005784366834106E-2</v>
      </c>
      <c r="M40" s="5">
        <f t="shared" si="0"/>
        <v>3.2886211462212191</v>
      </c>
      <c r="N40" s="5">
        <f t="shared" si="1"/>
        <v>1.1113788537787812</v>
      </c>
      <c r="O40" s="116"/>
      <c r="P40" s="116"/>
      <c r="Q40" s="116"/>
      <c r="R40" s="116"/>
      <c r="S40" s="116"/>
      <c r="T40" s="116"/>
      <c r="U40" s="116"/>
      <c r="V40" s="116"/>
      <c r="W40" s="43"/>
      <c r="X40" s="116"/>
      <c r="Y40" s="116"/>
      <c r="Z40" s="116"/>
      <c r="AA40" s="116"/>
      <c r="AB40" s="116"/>
      <c r="AC40" s="116"/>
      <c r="AD40" s="116"/>
      <c r="AE40" s="116"/>
      <c r="AF40" s="47"/>
    </row>
    <row r="41" spans="1:32" x14ac:dyDescent="0.3">
      <c r="A41" s="3">
        <v>40</v>
      </c>
      <c r="B41" s="3">
        <v>3</v>
      </c>
      <c r="C41" s="3">
        <v>1</v>
      </c>
      <c r="D41" s="3" t="s">
        <v>8</v>
      </c>
      <c r="F41" s="128"/>
      <c r="G41" s="86">
        <f>B40-C40</f>
        <v>6</v>
      </c>
      <c r="H41" s="5">
        <f>$S$7</f>
        <v>0</v>
      </c>
      <c r="I41" s="42">
        <f>$S$8</f>
        <v>2.2000000000000002</v>
      </c>
      <c r="J41" s="5">
        <f>$S$9</f>
        <v>5.4496153618543843</v>
      </c>
      <c r="K41" s="5">
        <f>$S$10</f>
        <v>4.3609942156331662</v>
      </c>
      <c r="L41" s="5">
        <f>$S$11</f>
        <v>3.9005784366834106E-2</v>
      </c>
      <c r="M41" s="5">
        <f t="shared" si="0"/>
        <v>3.2886211462212191</v>
      </c>
      <c r="N41" s="5">
        <f t="shared" si="1"/>
        <v>1.1113788537787812</v>
      </c>
      <c r="O41" s="116"/>
      <c r="P41" s="116"/>
      <c r="Q41" s="116"/>
      <c r="R41" s="116"/>
      <c r="S41" s="116"/>
      <c r="T41" s="116"/>
      <c r="U41" s="116"/>
      <c r="V41" s="116"/>
      <c r="W41" s="43"/>
      <c r="X41" s="116"/>
      <c r="Y41" s="116"/>
      <c r="Z41" s="116"/>
      <c r="AA41" s="116"/>
      <c r="AB41" s="116"/>
      <c r="AC41" s="116"/>
      <c r="AD41" s="116"/>
      <c r="AE41" s="116"/>
      <c r="AF41" s="47"/>
    </row>
    <row r="42" spans="1:32" x14ac:dyDescent="0.3">
      <c r="A42" s="9" t="s">
        <v>23</v>
      </c>
      <c r="B42" s="9">
        <f>SUM(B2:B41)</f>
        <v>126</v>
      </c>
      <c r="C42" s="9">
        <f>SUM(C2:C41)</f>
        <v>38</v>
      </c>
      <c r="D42" s="9" t="s">
        <v>11</v>
      </c>
      <c r="F42" s="128"/>
      <c r="G42" s="86">
        <f>B41-C41</f>
        <v>2</v>
      </c>
      <c r="H42" s="5">
        <f>$S$7</f>
        <v>0</v>
      </c>
      <c r="I42" s="42">
        <f>$S$8</f>
        <v>2.2000000000000002</v>
      </c>
      <c r="J42" s="5">
        <f>$S$9</f>
        <v>5.4496153618543843</v>
      </c>
      <c r="K42" s="5">
        <f>$S$10</f>
        <v>4.3609942156331662</v>
      </c>
      <c r="L42" s="5">
        <f>$S$11</f>
        <v>3.9005784366834106E-2</v>
      </c>
      <c r="M42" s="5">
        <f t="shared" si="0"/>
        <v>3.2886211462212191</v>
      </c>
      <c r="N42" s="5">
        <f t="shared" si="1"/>
        <v>1.1113788537787812</v>
      </c>
      <c r="O42" s="116"/>
      <c r="P42" s="116"/>
      <c r="Q42" s="116"/>
      <c r="R42" s="116"/>
      <c r="S42" s="116"/>
      <c r="T42" s="116"/>
      <c r="U42" s="116"/>
      <c r="V42" s="116"/>
      <c r="W42" s="43"/>
      <c r="X42" s="116"/>
      <c r="Y42" s="116"/>
      <c r="Z42" s="116"/>
      <c r="AA42" s="116"/>
      <c r="AB42" s="116"/>
      <c r="AC42" s="116"/>
      <c r="AD42" s="116"/>
      <c r="AE42" s="116"/>
      <c r="AF42" s="47"/>
    </row>
    <row r="43" spans="1:32" ht="15" thickBot="1" x14ac:dyDescent="0.35">
      <c r="B43" s="9" t="s">
        <v>74</v>
      </c>
      <c r="C43" s="9">
        <f>C42/B42</f>
        <v>0.30158730158730157</v>
      </c>
      <c r="F43" s="129"/>
      <c r="G43" s="140">
        <f>SUM(G3:G42)</f>
        <v>88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141"/>
      <c r="X43" s="51"/>
      <c r="Y43" s="51"/>
      <c r="Z43" s="51"/>
      <c r="AA43" s="51"/>
      <c r="AB43" s="51"/>
      <c r="AC43" s="51"/>
      <c r="AD43" s="51"/>
      <c r="AE43" s="51"/>
      <c r="AF43" s="52"/>
    </row>
    <row r="45" spans="1:32" ht="15" thickBot="1" x14ac:dyDescent="0.35"/>
    <row r="46" spans="1:32" ht="21" customHeight="1" x14ac:dyDescent="0.3">
      <c r="G46" s="134" t="s">
        <v>70</v>
      </c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6"/>
    </row>
    <row r="47" spans="1:32" ht="14.4" customHeight="1" thickBot="1" x14ac:dyDescent="0.35">
      <c r="F47" s="149"/>
      <c r="G47" s="137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9"/>
    </row>
    <row r="48" spans="1:32" x14ac:dyDescent="0.3">
      <c r="F48" s="119" t="s">
        <v>83</v>
      </c>
      <c r="G48" s="164" t="s">
        <v>71</v>
      </c>
      <c r="H48" s="144" t="s">
        <v>24</v>
      </c>
      <c r="I48" s="163" t="s">
        <v>72</v>
      </c>
      <c r="J48" s="144" t="s">
        <v>25</v>
      </c>
      <c r="K48" s="159" t="s">
        <v>79</v>
      </c>
      <c r="L48" s="159" t="s">
        <v>80</v>
      </c>
      <c r="M48" s="159" t="s">
        <v>81</v>
      </c>
      <c r="N48" s="159" t="s">
        <v>82</v>
      </c>
      <c r="O48" s="44"/>
      <c r="P48" s="44"/>
      <c r="Q48" s="44"/>
      <c r="R48" s="44"/>
      <c r="S48" s="44"/>
      <c r="T48" s="44"/>
      <c r="U48" s="44"/>
      <c r="V48" s="45"/>
    </row>
    <row r="49" spans="6:22" ht="14.4" customHeight="1" x14ac:dyDescent="0.3">
      <c r="F49" s="120"/>
      <c r="G49" s="165">
        <f>C2/B2</f>
        <v>0.5</v>
      </c>
      <c r="H49" s="5">
        <f>IF($R$50-2*SQRT($R$50/B2)&lt;0,0,$R$50-2*SQRT($R$50/B2))</f>
        <v>0</v>
      </c>
      <c r="I49" s="5">
        <f>$R$50</f>
        <v>0.30158730158730157</v>
      </c>
      <c r="J49" s="5">
        <f>$R$50+2*SQRT($R$50/B2)</f>
        <v>1.0782304649349248</v>
      </c>
      <c r="K49" s="5">
        <f>$R$50+1.33*SQRT($R$50/B2)</f>
        <v>0.81805500521347119</v>
      </c>
      <c r="L49" s="5">
        <f>IF($R$50-1.33*SQRT($R$50/B2)&lt;0,0,$R$50-1.33*SQRT($R$50/B2))</f>
        <v>0</v>
      </c>
      <c r="M49" s="5">
        <f>$R$50+0.67*SQRT($R$50/B2)</f>
        <v>0.56176276130875546</v>
      </c>
      <c r="N49" s="5">
        <f>IF($R$50-0.67*SQRT($R$50/B2)&lt;0,0,$R$50-0.67*SQRT($R$50/B2))</f>
        <v>4.1411841865847732E-2</v>
      </c>
      <c r="O49" s="116"/>
      <c r="P49" s="116"/>
      <c r="Q49" s="115" t="s">
        <v>76</v>
      </c>
      <c r="R49" s="116" t="s">
        <v>75</v>
      </c>
      <c r="S49" s="150" t="s">
        <v>49</v>
      </c>
      <c r="T49" s="150"/>
      <c r="U49" s="150"/>
      <c r="V49" s="85"/>
    </row>
    <row r="50" spans="6:22" x14ac:dyDescent="0.3">
      <c r="F50" s="120"/>
      <c r="G50" s="165">
        <f t="shared" ref="G50:G75" si="3">C3/B3</f>
        <v>0</v>
      </c>
      <c r="H50" s="5">
        <f>IF($R$50-2*SQRT($R$50/B3)&lt;0,0,$R$50-2*SQRT($R$50/B3))</f>
        <v>0</v>
      </c>
      <c r="I50" s="5">
        <f>$R$50</f>
        <v>0.30158730158730157</v>
      </c>
      <c r="J50" s="5">
        <f>$R$50+2*SQRT($R$50/B3)</f>
        <v>0.71672053430546101</v>
      </c>
      <c r="K50" s="5">
        <f t="shared" ref="K50:K88" si="4">$R$50+1.33*SQRT($R$50/B3)</f>
        <v>0.57765090134487762</v>
      </c>
      <c r="L50" s="5">
        <f t="shared" ref="L50:L88" si="5">IF($R$50-1.33*SQRT($R$50/B3)&lt;0,0,$R$50-1.33*SQRT($R$50/B3))</f>
        <v>2.5523701829725576E-2</v>
      </c>
      <c r="M50" s="5">
        <f t="shared" ref="M50:M88" si="6">$R$50+0.67*SQRT($R$50/B3)</f>
        <v>0.44065693454788496</v>
      </c>
      <c r="N50" s="5">
        <f t="shared" ref="N50:N88" si="7">IF($R$50-0.67*SQRT($R$50/B3)&lt;0,0,$R$50-0.67*SQRT($R$50/B3))</f>
        <v>0.16251766862671818</v>
      </c>
      <c r="O50" s="116"/>
      <c r="P50" s="116"/>
      <c r="Q50" s="115" t="s">
        <v>73</v>
      </c>
      <c r="R50" s="116">
        <f>C42/B42</f>
        <v>0.30158730158730157</v>
      </c>
      <c r="S50" s="162"/>
      <c r="T50" s="162"/>
      <c r="U50" s="162"/>
      <c r="V50" s="47"/>
    </row>
    <row r="51" spans="6:22" x14ac:dyDescent="0.3">
      <c r="F51" s="120"/>
      <c r="G51" s="165">
        <f t="shared" si="3"/>
        <v>0.33333333333333331</v>
      </c>
      <c r="H51" s="5">
        <f>IF($R$50-2*SQRT($R$50/B4)&lt;0,0,$R$50-2*SQRT($R$50/B4))</f>
        <v>0</v>
      </c>
      <c r="I51" s="5">
        <f>$R$50</f>
        <v>0.30158730158730157</v>
      </c>
      <c r="J51" s="5">
        <f>$R$50+2*SQRT($R$50/B4)</f>
        <v>0.93571378906152947</v>
      </c>
      <c r="K51" s="5">
        <f t="shared" si="4"/>
        <v>0.72328141575766303</v>
      </c>
      <c r="L51" s="5">
        <f t="shared" si="5"/>
        <v>0</v>
      </c>
      <c r="M51" s="5">
        <f t="shared" si="6"/>
        <v>0.51401967489116784</v>
      </c>
      <c r="N51" s="5">
        <f t="shared" si="7"/>
        <v>8.9154928283435242E-2</v>
      </c>
      <c r="O51" s="116"/>
      <c r="P51" s="116"/>
      <c r="Q51" s="111"/>
      <c r="R51" s="116"/>
      <c r="S51" s="116"/>
      <c r="T51" s="116"/>
      <c r="U51" s="116"/>
      <c r="V51" s="47"/>
    </row>
    <row r="52" spans="6:22" x14ac:dyDescent="0.3">
      <c r="F52" s="120"/>
      <c r="G52" s="165">
        <f t="shared" si="3"/>
        <v>0.33333333333333331</v>
      </c>
      <c r="H52" s="5">
        <f>IF($R$50-2*SQRT($R$50/B5)&lt;0,0,$R$50-2*SQRT($R$50/B5))</f>
        <v>0</v>
      </c>
      <c r="I52" s="5">
        <f>$R$50</f>
        <v>0.30158730158730157</v>
      </c>
      <c r="J52" s="5">
        <f>$R$50+2*SQRT($R$50/B5)</f>
        <v>0.93571378906152947</v>
      </c>
      <c r="K52" s="5">
        <f t="shared" si="4"/>
        <v>0.72328141575766303</v>
      </c>
      <c r="L52" s="5">
        <f t="shared" si="5"/>
        <v>0</v>
      </c>
      <c r="M52" s="5">
        <f t="shared" si="6"/>
        <v>0.51401967489116784</v>
      </c>
      <c r="N52" s="5">
        <f t="shared" si="7"/>
        <v>8.9154928283435242E-2</v>
      </c>
      <c r="O52" s="116"/>
      <c r="P52" s="116"/>
      <c r="Q52" s="16" t="s">
        <v>28</v>
      </c>
      <c r="R52" s="116" t="s">
        <v>77</v>
      </c>
      <c r="S52" s="116"/>
      <c r="T52" s="116"/>
      <c r="U52" s="116"/>
      <c r="V52" s="47"/>
    </row>
    <row r="53" spans="6:22" x14ac:dyDescent="0.3">
      <c r="F53" s="120"/>
      <c r="G53" s="165">
        <f t="shared" si="3"/>
        <v>0.25</v>
      </c>
      <c r="H53" s="5">
        <f>IF($R$50-2*SQRT($R$50/B6)&lt;0,0,$R$50-2*SQRT($R$50/B6))</f>
        <v>0</v>
      </c>
      <c r="I53" s="5">
        <f>$R$50</f>
        <v>0.30158730158730157</v>
      </c>
      <c r="J53" s="5">
        <f>$R$50+2*SQRT($R$50/B6)</f>
        <v>0.85075694895257747</v>
      </c>
      <c r="K53" s="5">
        <f t="shared" si="4"/>
        <v>0.66678511708521015</v>
      </c>
      <c r="L53" s="5">
        <f t="shared" si="5"/>
        <v>0</v>
      </c>
      <c r="M53" s="5">
        <f t="shared" si="6"/>
        <v>0.48555913345466906</v>
      </c>
      <c r="N53" s="5">
        <f t="shared" si="7"/>
        <v>0.11761546971993411</v>
      </c>
      <c r="O53" s="116"/>
      <c r="P53" s="116"/>
      <c r="Q53" s="16" t="s">
        <v>29</v>
      </c>
      <c r="R53" s="116">
        <f>R50</f>
        <v>0.30158730158730157</v>
      </c>
      <c r="S53" s="116"/>
      <c r="T53" s="116"/>
      <c r="U53" s="116"/>
      <c r="V53" s="47"/>
    </row>
    <row r="54" spans="6:22" x14ac:dyDescent="0.3">
      <c r="F54" s="120"/>
      <c r="G54" s="165">
        <f t="shared" si="3"/>
        <v>0.25</v>
      </c>
      <c r="H54" s="5">
        <f>IF($R$50-2*SQRT($R$50/B7)&lt;0,0,$R$50-2*SQRT($R$50/B7))</f>
        <v>0</v>
      </c>
      <c r="I54" s="5">
        <f>$R$50</f>
        <v>0.30158730158730157</v>
      </c>
      <c r="J54" s="5">
        <f>$R$50+2*SQRT($R$50/B7)</f>
        <v>0.85075694895257747</v>
      </c>
      <c r="K54" s="5">
        <f t="shared" si="4"/>
        <v>0.66678511708521015</v>
      </c>
      <c r="L54" s="5">
        <f t="shared" si="5"/>
        <v>0</v>
      </c>
      <c r="M54" s="5">
        <f t="shared" si="6"/>
        <v>0.48555913345466906</v>
      </c>
      <c r="N54" s="5">
        <f t="shared" si="7"/>
        <v>0.11761546971993411</v>
      </c>
      <c r="O54" s="116"/>
      <c r="P54" s="116"/>
      <c r="Q54" s="115" t="s">
        <v>30</v>
      </c>
      <c r="R54" s="116" t="s">
        <v>58</v>
      </c>
      <c r="S54" s="116"/>
      <c r="T54" s="116"/>
      <c r="U54" s="116"/>
      <c r="V54" s="47"/>
    </row>
    <row r="55" spans="6:22" x14ac:dyDescent="0.3">
      <c r="F55" s="120"/>
      <c r="G55" s="165">
        <f t="shared" si="3"/>
        <v>1</v>
      </c>
      <c r="H55" s="5">
        <f>IF($R$50-2*SQRT($R$50/B8)&lt;0,0,$R$50-2*SQRT($R$50/B8))</f>
        <v>0</v>
      </c>
      <c r="I55" s="5">
        <f>$R$50</f>
        <v>0.30158730158730157</v>
      </c>
      <c r="J55" s="5">
        <f>$R$50+2*SQRT($R$50/B8)</f>
        <v>1.3999265963178535</v>
      </c>
      <c r="K55" s="5">
        <f t="shared" si="4"/>
        <v>1.0319829325831187</v>
      </c>
      <c r="L55" s="5">
        <f t="shared" si="5"/>
        <v>0</v>
      </c>
      <c r="M55" s="5">
        <f t="shared" si="6"/>
        <v>0.66953096532203649</v>
      </c>
      <c r="N55" s="5">
        <f t="shared" si="7"/>
        <v>0</v>
      </c>
      <c r="O55" s="116"/>
      <c r="P55" s="116"/>
      <c r="Q55" s="158" t="s">
        <v>79</v>
      </c>
      <c r="R55" s="116" t="s">
        <v>58</v>
      </c>
      <c r="S55" s="116"/>
      <c r="T55" s="116"/>
      <c r="U55" s="116"/>
      <c r="V55" s="47"/>
    </row>
    <row r="56" spans="6:22" x14ac:dyDescent="0.3">
      <c r="F56" s="120"/>
      <c r="G56" s="165">
        <f t="shared" si="3"/>
        <v>0.5</v>
      </c>
      <c r="H56" s="5">
        <f>IF($R$50-2*SQRT($R$50/B9)&lt;0,0,$R$50-2*SQRT($R$50/B9))</f>
        <v>0</v>
      </c>
      <c r="I56" s="5">
        <f>$R$50</f>
        <v>0.30158730158730157</v>
      </c>
      <c r="J56" s="5">
        <f>$R$50+2*SQRT($R$50/B9)</f>
        <v>1.0782304649349248</v>
      </c>
      <c r="K56" s="5">
        <f t="shared" si="4"/>
        <v>0.81805500521347119</v>
      </c>
      <c r="L56" s="5">
        <f t="shared" si="5"/>
        <v>0</v>
      </c>
      <c r="M56" s="5">
        <f t="shared" si="6"/>
        <v>0.56176276130875546</v>
      </c>
      <c r="N56" s="5">
        <f t="shared" si="7"/>
        <v>4.1411841865847732E-2</v>
      </c>
      <c r="O56" s="116"/>
      <c r="P56" s="116"/>
      <c r="Q56" s="158" t="s">
        <v>80</v>
      </c>
      <c r="R56" s="116" t="s">
        <v>58</v>
      </c>
      <c r="S56" s="116"/>
      <c r="T56" s="116"/>
      <c r="U56" s="116"/>
      <c r="V56" s="47"/>
    </row>
    <row r="57" spans="6:22" x14ac:dyDescent="0.3">
      <c r="F57" s="120"/>
      <c r="G57" s="165">
        <f t="shared" si="3"/>
        <v>0.33333333333333331</v>
      </c>
      <c r="H57" s="5">
        <f>IF($R$50-2*SQRT($R$50/B10)&lt;0,0,$R$50-2*SQRT($R$50/B10))</f>
        <v>0</v>
      </c>
      <c r="I57" s="5">
        <f>$R$50</f>
        <v>0.30158730158730157</v>
      </c>
      <c r="J57" s="5">
        <f>$R$50+2*SQRT($R$50/B10)</f>
        <v>0.93571378906152947</v>
      </c>
      <c r="K57" s="5">
        <f t="shared" si="4"/>
        <v>0.72328141575766303</v>
      </c>
      <c r="L57" s="5">
        <f t="shared" si="5"/>
        <v>0</v>
      </c>
      <c r="M57" s="5">
        <f t="shared" si="6"/>
        <v>0.51401967489116784</v>
      </c>
      <c r="N57" s="5">
        <f t="shared" si="7"/>
        <v>8.9154928283435242E-2</v>
      </c>
      <c r="O57" s="116"/>
      <c r="P57" s="116"/>
      <c r="Q57" s="158" t="s">
        <v>81</v>
      </c>
      <c r="R57" s="116" t="s">
        <v>58</v>
      </c>
      <c r="S57" s="116"/>
      <c r="T57" s="116"/>
      <c r="U57" s="116"/>
      <c r="V57" s="47"/>
    </row>
    <row r="58" spans="6:22" x14ac:dyDescent="0.3">
      <c r="F58" s="120"/>
      <c r="G58" s="165">
        <f t="shared" si="3"/>
        <v>1</v>
      </c>
      <c r="H58" s="5">
        <f>IF($R$50-2*SQRT($R$50/B11)&lt;0,0,$R$50-2*SQRT($R$50/B11))</f>
        <v>0</v>
      </c>
      <c r="I58" s="5">
        <f>$R$50</f>
        <v>0.30158730158730157</v>
      </c>
      <c r="J58" s="5">
        <f>$R$50+2*SQRT($R$50/B11)</f>
        <v>1.3999265963178535</v>
      </c>
      <c r="K58" s="5">
        <f t="shared" si="4"/>
        <v>1.0319829325831187</v>
      </c>
      <c r="L58" s="5">
        <f t="shared" si="5"/>
        <v>0</v>
      </c>
      <c r="M58" s="5">
        <f t="shared" si="6"/>
        <v>0.66953096532203649</v>
      </c>
      <c r="N58" s="5">
        <f t="shared" si="7"/>
        <v>0</v>
      </c>
      <c r="O58" s="116"/>
      <c r="P58" s="116"/>
      <c r="Q58" s="158" t="s">
        <v>82</v>
      </c>
      <c r="R58" s="116" t="s">
        <v>58</v>
      </c>
      <c r="S58" s="116"/>
      <c r="T58" s="116"/>
      <c r="U58" s="116"/>
      <c r="V58" s="47"/>
    </row>
    <row r="59" spans="6:22" x14ac:dyDescent="0.3">
      <c r="F59" s="120"/>
      <c r="G59" s="165">
        <f t="shared" si="3"/>
        <v>1</v>
      </c>
      <c r="H59" s="5">
        <f>IF($R$50-2*SQRT($R$50/B12)&lt;0,0,$R$50-2*SQRT($R$50/B12))</f>
        <v>0</v>
      </c>
      <c r="I59" s="5">
        <f>$R$50</f>
        <v>0.30158730158730157</v>
      </c>
      <c r="J59" s="5">
        <f>$R$50+2*SQRT($R$50/B12)</f>
        <v>1.3999265963178535</v>
      </c>
      <c r="K59" s="5">
        <f t="shared" si="4"/>
        <v>1.0319829325831187</v>
      </c>
      <c r="L59" s="5">
        <f t="shared" si="5"/>
        <v>0</v>
      </c>
      <c r="M59" s="5">
        <f t="shared" si="6"/>
        <v>0.66953096532203649</v>
      </c>
      <c r="N59" s="5">
        <f t="shared" si="7"/>
        <v>0</v>
      </c>
      <c r="O59" s="116"/>
      <c r="P59" s="116"/>
      <c r="Q59" s="116"/>
      <c r="R59" s="116"/>
      <c r="S59" s="116"/>
      <c r="T59" s="116"/>
      <c r="U59" s="116"/>
      <c r="V59" s="47"/>
    </row>
    <row r="60" spans="6:22" x14ac:dyDescent="0.3">
      <c r="F60" s="120"/>
      <c r="G60" s="165">
        <f t="shared" si="3"/>
        <v>0.5</v>
      </c>
      <c r="H60" s="5">
        <f>IF($R$50-2*SQRT($R$50/B13)&lt;0,0,$R$50-2*SQRT($R$50/B13))</f>
        <v>0</v>
      </c>
      <c r="I60" s="5">
        <f>$R$50</f>
        <v>0.30158730158730157</v>
      </c>
      <c r="J60" s="5">
        <f>$R$50+2*SQRT($R$50/B13)</f>
        <v>1.0782304649349248</v>
      </c>
      <c r="K60" s="5">
        <f t="shared" si="4"/>
        <v>0.81805500521347119</v>
      </c>
      <c r="L60" s="5">
        <f t="shared" si="5"/>
        <v>0</v>
      </c>
      <c r="M60" s="5">
        <f t="shared" si="6"/>
        <v>0.56176276130875546</v>
      </c>
      <c r="N60" s="5">
        <f t="shared" si="7"/>
        <v>4.1411841865847732E-2</v>
      </c>
      <c r="O60" s="116"/>
      <c r="P60" s="116"/>
      <c r="Q60" s="116"/>
      <c r="R60" s="116"/>
      <c r="S60" s="116"/>
      <c r="T60" s="116"/>
      <c r="U60" s="116"/>
      <c r="V60" s="47"/>
    </row>
    <row r="61" spans="6:22" x14ac:dyDescent="0.3">
      <c r="F61" s="120"/>
      <c r="G61" s="165">
        <f t="shared" si="3"/>
        <v>0.25</v>
      </c>
      <c r="H61" s="5">
        <f>IF($R$50-2*SQRT($R$50/B14)&lt;0,0,$R$50-2*SQRT($R$50/B14))</f>
        <v>0</v>
      </c>
      <c r="I61" s="5">
        <f>$R$50</f>
        <v>0.30158730158730157</v>
      </c>
      <c r="J61" s="5">
        <f>$R$50+2*SQRT($R$50/B14)</f>
        <v>0.85075694895257747</v>
      </c>
      <c r="K61" s="5">
        <f t="shared" si="4"/>
        <v>0.66678511708521015</v>
      </c>
      <c r="L61" s="5">
        <f t="shared" si="5"/>
        <v>0</v>
      </c>
      <c r="M61" s="5">
        <f t="shared" si="6"/>
        <v>0.48555913345466906</v>
      </c>
      <c r="N61" s="5">
        <f t="shared" si="7"/>
        <v>0.11761546971993411</v>
      </c>
      <c r="O61" s="116"/>
      <c r="P61" s="116"/>
      <c r="Q61" s="116"/>
      <c r="R61" s="116"/>
      <c r="S61" s="116"/>
      <c r="T61" s="116"/>
      <c r="U61" s="116"/>
      <c r="V61" s="47"/>
    </row>
    <row r="62" spans="6:22" x14ac:dyDescent="0.3">
      <c r="F62" s="120"/>
      <c r="G62" s="165">
        <f t="shared" si="3"/>
        <v>0.5</v>
      </c>
      <c r="H62" s="5">
        <f>IF($R$50-2*SQRT($R$50/B15)&lt;0,0,$R$50-2*SQRT($R$50/B15))</f>
        <v>0</v>
      </c>
      <c r="I62" s="5">
        <f>$R$50</f>
        <v>0.30158730158730157</v>
      </c>
      <c r="J62" s="5">
        <f>$R$50+2*SQRT($R$50/B15)</f>
        <v>1.0782304649349248</v>
      </c>
      <c r="K62" s="5">
        <f t="shared" si="4"/>
        <v>0.81805500521347119</v>
      </c>
      <c r="L62" s="5">
        <f t="shared" si="5"/>
        <v>0</v>
      </c>
      <c r="M62" s="5">
        <f t="shared" si="6"/>
        <v>0.56176276130875546</v>
      </c>
      <c r="N62" s="5">
        <f t="shared" si="7"/>
        <v>4.1411841865847732E-2</v>
      </c>
      <c r="O62" s="116"/>
      <c r="P62" s="116"/>
      <c r="Q62" s="116"/>
      <c r="R62" s="116"/>
      <c r="S62" s="116"/>
      <c r="T62" s="116"/>
      <c r="U62" s="116"/>
      <c r="V62" s="47"/>
    </row>
    <row r="63" spans="6:22" x14ac:dyDescent="0.3">
      <c r="F63" s="120"/>
      <c r="G63" s="165">
        <f t="shared" si="3"/>
        <v>0.33333333333333331</v>
      </c>
      <c r="H63" s="5">
        <f>IF($R$50-2*SQRT($R$50/B16)&lt;0,0,$R$50-2*SQRT($R$50/B16))</f>
        <v>0</v>
      </c>
      <c r="I63" s="5">
        <f>$R$50</f>
        <v>0.30158730158730157</v>
      </c>
      <c r="J63" s="5">
        <f>$R$50+2*SQRT($R$50/B16)</f>
        <v>0.93571378906152947</v>
      </c>
      <c r="K63" s="5">
        <f t="shared" si="4"/>
        <v>0.72328141575766303</v>
      </c>
      <c r="L63" s="5">
        <f t="shared" si="5"/>
        <v>0</v>
      </c>
      <c r="M63" s="5">
        <f t="shared" si="6"/>
        <v>0.51401967489116784</v>
      </c>
      <c r="N63" s="5">
        <f t="shared" si="7"/>
        <v>8.9154928283435242E-2</v>
      </c>
      <c r="O63" s="116"/>
      <c r="P63" s="116"/>
      <c r="Q63" s="116"/>
      <c r="R63" s="116"/>
      <c r="S63" s="116"/>
      <c r="T63" s="116"/>
      <c r="U63" s="116"/>
      <c r="V63" s="47"/>
    </row>
    <row r="64" spans="6:22" x14ac:dyDescent="0.3">
      <c r="F64" s="120"/>
      <c r="G64" s="165">
        <f t="shared" si="3"/>
        <v>1</v>
      </c>
      <c r="H64" s="5">
        <f>IF($R$50-2*SQRT($R$50/B17)&lt;0,0,$R$50-2*SQRT($R$50/B17))</f>
        <v>0</v>
      </c>
      <c r="I64" s="5">
        <f>$R$50</f>
        <v>0.30158730158730157</v>
      </c>
      <c r="J64" s="5">
        <f>$R$50+2*SQRT($R$50/B17)</f>
        <v>1.3999265963178535</v>
      </c>
      <c r="K64" s="5">
        <f t="shared" si="4"/>
        <v>1.0319829325831187</v>
      </c>
      <c r="L64" s="5">
        <f t="shared" si="5"/>
        <v>0</v>
      </c>
      <c r="M64" s="5">
        <f t="shared" si="6"/>
        <v>0.66953096532203649</v>
      </c>
      <c r="N64" s="5">
        <f t="shared" si="7"/>
        <v>0</v>
      </c>
      <c r="O64" s="116"/>
      <c r="P64" s="116"/>
      <c r="Q64" s="116"/>
      <c r="R64" s="116"/>
      <c r="S64" s="116"/>
      <c r="T64" s="116"/>
      <c r="U64" s="116"/>
      <c r="V64" s="47"/>
    </row>
    <row r="65" spans="6:22" x14ac:dyDescent="0.3">
      <c r="F65" s="120"/>
      <c r="G65" s="165">
        <f t="shared" si="3"/>
        <v>1</v>
      </c>
      <c r="H65" s="5">
        <f>IF($R$50-2*SQRT($R$50/B18)&lt;0,0,$R$50-2*SQRT($R$50/B18))</f>
        <v>0</v>
      </c>
      <c r="I65" s="5">
        <f>$R$50</f>
        <v>0.30158730158730157</v>
      </c>
      <c r="J65" s="5">
        <f>$R$50+2*SQRT($R$50/B18)</f>
        <v>1.3999265963178535</v>
      </c>
      <c r="K65" s="5">
        <f t="shared" si="4"/>
        <v>1.0319829325831187</v>
      </c>
      <c r="L65" s="5">
        <f t="shared" si="5"/>
        <v>0</v>
      </c>
      <c r="M65" s="5">
        <f t="shared" si="6"/>
        <v>0.66953096532203649</v>
      </c>
      <c r="N65" s="5">
        <f t="shared" si="7"/>
        <v>0</v>
      </c>
      <c r="O65" s="116"/>
      <c r="P65" s="116"/>
      <c r="Q65" s="116"/>
      <c r="R65" s="116"/>
      <c r="S65" s="116"/>
      <c r="T65" s="116"/>
      <c r="U65" s="116"/>
      <c r="V65" s="47"/>
    </row>
    <row r="66" spans="6:22" x14ac:dyDescent="0.3">
      <c r="F66" s="120"/>
      <c r="G66" s="165">
        <f t="shared" si="3"/>
        <v>0.25</v>
      </c>
      <c r="H66" s="5">
        <f>IF($R$50-2*SQRT($R$50/B19)&lt;0,0,$R$50-2*SQRT($R$50/B19))</f>
        <v>0</v>
      </c>
      <c r="I66" s="5">
        <f>$R$50</f>
        <v>0.30158730158730157</v>
      </c>
      <c r="J66" s="5">
        <f>$R$50+2*SQRT($R$50/B19)</f>
        <v>0.85075694895257747</v>
      </c>
      <c r="K66" s="5">
        <f t="shared" si="4"/>
        <v>0.66678511708521015</v>
      </c>
      <c r="L66" s="5">
        <f t="shared" si="5"/>
        <v>0</v>
      </c>
      <c r="M66" s="5">
        <f t="shared" si="6"/>
        <v>0.48555913345466906</v>
      </c>
      <c r="N66" s="5">
        <f t="shared" si="7"/>
        <v>0.11761546971993411</v>
      </c>
      <c r="O66" s="116"/>
      <c r="P66" s="116"/>
      <c r="Q66" s="116"/>
      <c r="R66" s="116"/>
      <c r="S66" s="116"/>
      <c r="T66" s="116"/>
      <c r="U66" s="116"/>
      <c r="V66" s="47"/>
    </row>
    <row r="67" spans="6:22" x14ac:dyDescent="0.3">
      <c r="F67" s="120"/>
      <c r="G67" s="165">
        <f t="shared" si="3"/>
        <v>0.5</v>
      </c>
      <c r="H67" s="5">
        <f>IF($R$50-2*SQRT($R$50/B20)&lt;0,0,$R$50-2*SQRT($R$50/B20))</f>
        <v>0</v>
      </c>
      <c r="I67" s="5">
        <f>$R$50</f>
        <v>0.30158730158730157</v>
      </c>
      <c r="J67" s="5">
        <f>$R$50+2*SQRT($R$50/B20)</f>
        <v>1.0782304649349248</v>
      </c>
      <c r="K67" s="5">
        <f t="shared" si="4"/>
        <v>0.81805500521347119</v>
      </c>
      <c r="L67" s="5">
        <f t="shared" si="5"/>
        <v>0</v>
      </c>
      <c r="M67" s="5">
        <f t="shared" si="6"/>
        <v>0.56176276130875546</v>
      </c>
      <c r="N67" s="5">
        <f t="shared" si="7"/>
        <v>4.1411841865847732E-2</v>
      </c>
      <c r="O67" s="116"/>
      <c r="P67" s="116"/>
      <c r="Q67" s="116"/>
      <c r="R67" s="116"/>
      <c r="S67" s="116"/>
      <c r="T67" s="116"/>
      <c r="U67" s="116"/>
      <c r="V67" s="47"/>
    </row>
    <row r="68" spans="6:22" x14ac:dyDescent="0.3">
      <c r="F68" s="120"/>
      <c r="G68" s="165">
        <f t="shared" si="3"/>
        <v>1</v>
      </c>
      <c r="H68" s="5">
        <f>IF($R$50-2*SQRT($R$50/B21)&lt;0,0,$R$50-2*SQRT($R$50/B21))</f>
        <v>0</v>
      </c>
      <c r="I68" s="5">
        <f>$R$50</f>
        <v>0.30158730158730157</v>
      </c>
      <c r="J68" s="5">
        <f>$R$50+2*SQRT($R$50/B21)</f>
        <v>1.3999265963178535</v>
      </c>
      <c r="K68" s="5">
        <f t="shared" si="4"/>
        <v>1.0319829325831187</v>
      </c>
      <c r="L68" s="5">
        <f t="shared" si="5"/>
        <v>0</v>
      </c>
      <c r="M68" s="5">
        <f t="shared" si="6"/>
        <v>0.66953096532203649</v>
      </c>
      <c r="N68" s="5">
        <f t="shared" si="7"/>
        <v>0</v>
      </c>
      <c r="O68" s="116"/>
      <c r="P68" s="116"/>
      <c r="Q68" s="116"/>
      <c r="R68" s="116"/>
      <c r="S68" s="116"/>
      <c r="T68" s="116"/>
      <c r="U68" s="116"/>
      <c r="V68" s="47"/>
    </row>
    <row r="69" spans="6:22" x14ac:dyDescent="0.3">
      <c r="F69" s="120"/>
      <c r="G69" s="165">
        <f t="shared" si="3"/>
        <v>0.5</v>
      </c>
      <c r="H69" s="5">
        <f>IF($R$50-2*SQRT($R$50/B22)&lt;0,0,$R$50-2*SQRT($R$50/B22))</f>
        <v>0</v>
      </c>
      <c r="I69" s="5">
        <f>$R$50</f>
        <v>0.30158730158730157</v>
      </c>
      <c r="J69" s="5">
        <f>$R$50+2*SQRT($R$50/B22)</f>
        <v>1.0782304649349248</v>
      </c>
      <c r="K69" s="5">
        <f t="shared" si="4"/>
        <v>0.81805500521347119</v>
      </c>
      <c r="L69" s="5">
        <f t="shared" si="5"/>
        <v>0</v>
      </c>
      <c r="M69" s="5">
        <f t="shared" si="6"/>
        <v>0.56176276130875546</v>
      </c>
      <c r="N69" s="5">
        <f t="shared" si="7"/>
        <v>4.1411841865847732E-2</v>
      </c>
      <c r="O69" s="116"/>
      <c r="P69" s="116"/>
      <c r="Q69" s="116"/>
      <c r="R69" s="116"/>
      <c r="S69" s="116"/>
      <c r="T69" s="116"/>
      <c r="U69" s="116"/>
      <c r="V69" s="47"/>
    </row>
    <row r="70" spans="6:22" x14ac:dyDescent="0.3">
      <c r="F70" s="120"/>
      <c r="G70" s="165">
        <f t="shared" si="3"/>
        <v>0.33333333333333331</v>
      </c>
      <c r="H70" s="5">
        <f>IF($R$50-2*SQRT($R$50/B23)&lt;0,0,$R$50-2*SQRT($R$50/B23))</f>
        <v>0</v>
      </c>
      <c r="I70" s="5">
        <f>$R$50</f>
        <v>0.30158730158730157</v>
      </c>
      <c r="J70" s="5">
        <f>$R$50+2*SQRT($R$50/B23)</f>
        <v>0.93571378906152947</v>
      </c>
      <c r="K70" s="5">
        <f t="shared" si="4"/>
        <v>0.72328141575766303</v>
      </c>
      <c r="L70" s="5">
        <f t="shared" si="5"/>
        <v>0</v>
      </c>
      <c r="M70" s="5">
        <f t="shared" si="6"/>
        <v>0.51401967489116784</v>
      </c>
      <c r="N70" s="5">
        <f t="shared" si="7"/>
        <v>8.9154928283435242E-2</v>
      </c>
      <c r="O70" s="116"/>
      <c r="P70" s="116"/>
      <c r="Q70" s="116"/>
      <c r="R70" s="116"/>
      <c r="S70" s="116"/>
      <c r="T70" s="116"/>
      <c r="U70" s="116"/>
      <c r="V70" s="47"/>
    </row>
    <row r="71" spans="6:22" x14ac:dyDescent="0.3">
      <c r="F71" s="120"/>
      <c r="G71" s="165">
        <f t="shared" si="3"/>
        <v>0.33333333333333331</v>
      </c>
      <c r="H71" s="5">
        <f>IF($R$50-2*SQRT($R$50/B24)&lt;0,0,$R$50-2*SQRT($R$50/B24))</f>
        <v>0</v>
      </c>
      <c r="I71" s="5">
        <f>$R$50</f>
        <v>0.30158730158730157</v>
      </c>
      <c r="J71" s="5">
        <f>$R$50+2*SQRT($R$50/B24)</f>
        <v>0.93571378906152947</v>
      </c>
      <c r="K71" s="5">
        <f t="shared" si="4"/>
        <v>0.72328141575766303</v>
      </c>
      <c r="L71" s="5">
        <f t="shared" si="5"/>
        <v>0</v>
      </c>
      <c r="M71" s="5">
        <f t="shared" si="6"/>
        <v>0.51401967489116784</v>
      </c>
      <c r="N71" s="5">
        <f t="shared" si="7"/>
        <v>8.9154928283435242E-2</v>
      </c>
      <c r="O71" s="116"/>
      <c r="P71" s="116"/>
      <c r="Q71" s="116"/>
      <c r="R71" s="116"/>
      <c r="S71" s="116"/>
      <c r="T71" s="116"/>
      <c r="U71" s="116"/>
      <c r="V71" s="47"/>
    </row>
    <row r="72" spans="6:22" x14ac:dyDescent="0.3">
      <c r="F72" s="120"/>
      <c r="G72" s="165">
        <f t="shared" si="3"/>
        <v>0.25</v>
      </c>
      <c r="H72" s="5">
        <f>IF($R$50-2*SQRT($R$50/B25)&lt;0,0,$R$50-2*SQRT($R$50/B25))</f>
        <v>0</v>
      </c>
      <c r="I72" s="5">
        <f>$R$50</f>
        <v>0.30158730158730157</v>
      </c>
      <c r="J72" s="5">
        <f>$R$50+2*SQRT($R$50/B25)</f>
        <v>0.85075694895257747</v>
      </c>
      <c r="K72" s="5">
        <f t="shared" si="4"/>
        <v>0.66678511708521015</v>
      </c>
      <c r="L72" s="5">
        <f t="shared" si="5"/>
        <v>0</v>
      </c>
      <c r="M72" s="5">
        <f t="shared" si="6"/>
        <v>0.48555913345466906</v>
      </c>
      <c r="N72" s="5">
        <f t="shared" si="7"/>
        <v>0.11761546971993411</v>
      </c>
      <c r="O72" s="116"/>
      <c r="P72" s="116"/>
      <c r="Q72" s="116"/>
      <c r="R72" s="116"/>
      <c r="S72" s="116"/>
      <c r="T72" s="116"/>
      <c r="U72" s="116"/>
      <c r="V72" s="47"/>
    </row>
    <row r="73" spans="6:22" x14ac:dyDescent="0.3">
      <c r="F73" s="120"/>
      <c r="G73" s="165">
        <f t="shared" si="3"/>
        <v>0.33333333333333331</v>
      </c>
      <c r="H73" s="5">
        <f>IF($R$50-2*SQRT($R$50/B26)&lt;0,0,$R$50-2*SQRT($R$50/B26))</f>
        <v>0</v>
      </c>
      <c r="I73" s="5">
        <f>$R$50</f>
        <v>0.30158730158730157</v>
      </c>
      <c r="J73" s="5">
        <f>$R$50+2*SQRT($R$50/B26)</f>
        <v>0.93571378906152947</v>
      </c>
      <c r="K73" s="5">
        <f t="shared" si="4"/>
        <v>0.72328141575766303</v>
      </c>
      <c r="L73" s="5">
        <f t="shared" si="5"/>
        <v>0</v>
      </c>
      <c r="M73" s="5">
        <f t="shared" si="6"/>
        <v>0.51401967489116784</v>
      </c>
      <c r="N73" s="5">
        <f t="shared" si="7"/>
        <v>8.9154928283435242E-2</v>
      </c>
      <c r="O73" s="116"/>
      <c r="P73" s="116"/>
      <c r="Q73" s="116"/>
      <c r="R73" s="116"/>
      <c r="S73" s="116"/>
      <c r="T73" s="116"/>
      <c r="U73" s="116"/>
      <c r="V73" s="47"/>
    </row>
    <row r="74" spans="6:22" x14ac:dyDescent="0.3">
      <c r="F74" s="120"/>
      <c r="G74" s="165">
        <f t="shared" si="3"/>
        <v>0.33333333333333331</v>
      </c>
      <c r="H74" s="5">
        <f>IF($R$50-2*SQRT($R$50/B27)&lt;0,0,$R$50-2*SQRT($R$50/B27))</f>
        <v>0</v>
      </c>
      <c r="I74" s="5">
        <f>$R$50</f>
        <v>0.30158730158730157</v>
      </c>
      <c r="J74" s="5">
        <f>$R$50+2*SQRT($R$50/B27)</f>
        <v>0.93571378906152947</v>
      </c>
      <c r="K74" s="5">
        <f t="shared" si="4"/>
        <v>0.72328141575766303</v>
      </c>
      <c r="L74" s="5">
        <f t="shared" si="5"/>
        <v>0</v>
      </c>
      <c r="M74" s="5">
        <f t="shared" si="6"/>
        <v>0.51401967489116784</v>
      </c>
      <c r="N74" s="5">
        <f t="shared" si="7"/>
        <v>8.9154928283435242E-2</v>
      </c>
      <c r="O74" s="116"/>
      <c r="P74" s="116"/>
      <c r="Q74" s="116"/>
      <c r="R74" s="116"/>
      <c r="S74" s="116"/>
      <c r="T74" s="116"/>
      <c r="U74" s="116"/>
      <c r="V74" s="47"/>
    </row>
    <row r="75" spans="6:22" x14ac:dyDescent="0.3">
      <c r="F75" s="120"/>
      <c r="G75" s="165">
        <f t="shared" si="3"/>
        <v>0</v>
      </c>
      <c r="H75" s="5">
        <f>IF($R$50-2*SQRT($R$50/B28)&lt;0,0,$R$50-2*SQRT($R$50/B28))</f>
        <v>0</v>
      </c>
      <c r="I75" s="5">
        <f>$R$50</f>
        <v>0.30158730158730157</v>
      </c>
      <c r="J75" s="5">
        <f>$R$50+2*SQRT($R$50/B28)</f>
        <v>0.71672053430546101</v>
      </c>
      <c r="K75" s="5">
        <f t="shared" si="4"/>
        <v>0.57765090134487762</v>
      </c>
      <c r="L75" s="5">
        <f t="shared" si="5"/>
        <v>2.5523701829725576E-2</v>
      </c>
      <c r="M75" s="5">
        <f t="shared" si="6"/>
        <v>0.44065693454788496</v>
      </c>
      <c r="N75" s="5">
        <f t="shared" si="7"/>
        <v>0.16251766862671818</v>
      </c>
      <c r="O75" s="116"/>
      <c r="P75" s="116"/>
      <c r="Q75" s="116"/>
      <c r="R75" s="116"/>
      <c r="S75" s="116"/>
      <c r="T75" s="116"/>
      <c r="U75" s="116"/>
      <c r="V75" s="47"/>
    </row>
    <row r="76" spans="6:22" x14ac:dyDescent="0.3">
      <c r="F76" s="120"/>
      <c r="G76" s="165">
        <f>C29/B29</f>
        <v>0.16666666666666666</v>
      </c>
      <c r="H76" s="5">
        <f>IF($R$50-2*SQRT($R$50/B29)&lt;0,0,$R$50-2*SQRT($R$50/B29))</f>
        <v>0</v>
      </c>
      <c r="I76" s="5">
        <f>$R$50</f>
        <v>0.30158730158730157</v>
      </c>
      <c r="J76" s="5">
        <f>$R$50+2*SQRT($R$50/B29)</f>
        <v>0.7499824410103344</v>
      </c>
      <c r="K76" s="5">
        <f t="shared" si="4"/>
        <v>0.59977006930361842</v>
      </c>
      <c r="L76" s="5">
        <f t="shared" si="5"/>
        <v>3.4045338709847162E-3</v>
      </c>
      <c r="M76" s="5">
        <f t="shared" si="6"/>
        <v>0.4517996732940176</v>
      </c>
      <c r="N76" s="5">
        <f t="shared" si="7"/>
        <v>0.15137492988058557</v>
      </c>
      <c r="O76" s="116"/>
      <c r="P76" s="116"/>
      <c r="Q76" s="116"/>
      <c r="R76" s="116"/>
      <c r="S76" s="116"/>
      <c r="T76" s="116"/>
      <c r="U76" s="116"/>
      <c r="V76" s="47"/>
    </row>
    <row r="77" spans="6:22" x14ac:dyDescent="0.3">
      <c r="F77" s="120"/>
      <c r="G77" s="165">
        <f>C30/B30</f>
        <v>0.33333333333333331</v>
      </c>
      <c r="H77" s="5">
        <f>IF($R$50-2*SQRT($R$50/B30)&lt;0,0,$R$50-2*SQRT($R$50/B30))</f>
        <v>0</v>
      </c>
      <c r="I77" s="5">
        <f>$R$50</f>
        <v>0.30158730158730157</v>
      </c>
      <c r="J77" s="5">
        <f>$R$50+2*SQRT($R$50/B30)</f>
        <v>0.93571378906152947</v>
      </c>
      <c r="K77" s="5">
        <f t="shared" si="4"/>
        <v>0.72328141575766303</v>
      </c>
      <c r="L77" s="5">
        <f t="shared" si="5"/>
        <v>0</v>
      </c>
      <c r="M77" s="5">
        <f t="shared" si="6"/>
        <v>0.51401967489116784</v>
      </c>
      <c r="N77" s="5">
        <f t="shared" si="7"/>
        <v>8.9154928283435242E-2</v>
      </c>
      <c r="O77" s="116"/>
      <c r="P77" s="116"/>
      <c r="Q77" s="116"/>
      <c r="R77" s="116"/>
      <c r="S77" s="116"/>
      <c r="T77" s="116"/>
      <c r="U77" s="116"/>
      <c r="V77" s="47"/>
    </row>
    <row r="78" spans="6:22" x14ac:dyDescent="0.3">
      <c r="F78" s="120"/>
      <c r="G78" s="165">
        <f>C31/B31</f>
        <v>0.16666666666666666</v>
      </c>
      <c r="H78" s="5">
        <f>IF($R$50-2*SQRT($R$50/B31)&lt;0,0,$R$50-2*SQRT($R$50/B31))</f>
        <v>0</v>
      </c>
      <c r="I78" s="5">
        <f>$R$50</f>
        <v>0.30158730158730157</v>
      </c>
      <c r="J78" s="5">
        <f>$R$50+2*SQRT($R$50/B31)</f>
        <v>0.7499824410103344</v>
      </c>
      <c r="K78" s="5">
        <f t="shared" si="4"/>
        <v>0.59977006930361842</v>
      </c>
      <c r="L78" s="5">
        <f t="shared" si="5"/>
        <v>3.4045338709847162E-3</v>
      </c>
      <c r="M78" s="5">
        <f t="shared" si="6"/>
        <v>0.4517996732940176</v>
      </c>
      <c r="N78" s="5">
        <f t="shared" si="7"/>
        <v>0.15137492988058557</v>
      </c>
      <c r="O78" s="116"/>
      <c r="P78" s="116"/>
      <c r="Q78" s="116"/>
      <c r="R78" s="116"/>
      <c r="S78" s="116"/>
      <c r="T78" s="116"/>
      <c r="U78" s="116"/>
      <c r="V78" s="47"/>
    </row>
    <row r="79" spans="6:22" x14ac:dyDescent="0.3">
      <c r="F79" s="120"/>
      <c r="G79" s="165">
        <f>C32/B32</f>
        <v>0.33333333333333331</v>
      </c>
      <c r="H79" s="5">
        <f>IF($R$50-2*SQRT($R$50/B32)&lt;0,0,$R$50-2*SQRT($R$50/B32))</f>
        <v>0</v>
      </c>
      <c r="I79" s="5">
        <f>$R$50</f>
        <v>0.30158730158730157</v>
      </c>
      <c r="J79" s="5">
        <f>$R$50+2*SQRT($R$50/B32)</f>
        <v>0.93571378906152947</v>
      </c>
      <c r="K79" s="5">
        <f t="shared" si="4"/>
        <v>0.72328141575766303</v>
      </c>
      <c r="L79" s="5">
        <f t="shared" si="5"/>
        <v>0</v>
      </c>
      <c r="M79" s="5">
        <f t="shared" si="6"/>
        <v>0.51401967489116784</v>
      </c>
      <c r="N79" s="5">
        <f t="shared" si="7"/>
        <v>8.9154928283435242E-2</v>
      </c>
      <c r="O79" s="116"/>
      <c r="P79" s="116"/>
      <c r="Q79" s="116"/>
      <c r="R79" s="116"/>
      <c r="S79" s="116"/>
      <c r="T79" s="116"/>
      <c r="U79" s="116"/>
      <c r="V79" s="47"/>
    </row>
    <row r="80" spans="6:22" x14ac:dyDescent="0.3">
      <c r="F80" s="120"/>
      <c r="G80" s="165">
        <f>C33/B33</f>
        <v>0.33333333333333331</v>
      </c>
      <c r="H80" s="5">
        <f>IF($R$50-2*SQRT($R$50/B33)&lt;0,0,$R$50-2*SQRT($R$50/B33))</f>
        <v>0</v>
      </c>
      <c r="I80" s="5">
        <f>$R$50</f>
        <v>0.30158730158730157</v>
      </c>
      <c r="J80" s="5">
        <f>$R$50+2*SQRT($R$50/B33)</f>
        <v>0.93571378906152947</v>
      </c>
      <c r="K80" s="5">
        <f t="shared" si="4"/>
        <v>0.72328141575766303</v>
      </c>
      <c r="L80" s="5">
        <f t="shared" si="5"/>
        <v>0</v>
      </c>
      <c r="M80" s="5">
        <f t="shared" si="6"/>
        <v>0.51401967489116784</v>
      </c>
      <c r="N80" s="5">
        <f t="shared" si="7"/>
        <v>8.9154928283435242E-2</v>
      </c>
      <c r="O80" s="116"/>
      <c r="P80" s="116"/>
      <c r="Q80" s="116"/>
      <c r="R80" s="116"/>
      <c r="S80" s="116"/>
      <c r="T80" s="116"/>
      <c r="U80" s="116"/>
      <c r="V80" s="47"/>
    </row>
    <row r="81" spans="6:22" x14ac:dyDescent="0.3">
      <c r="F81" s="120"/>
      <c r="G81" s="165">
        <f>C34/B34</f>
        <v>0.25</v>
      </c>
      <c r="H81" s="5">
        <f>IF($R$50-2*SQRT($R$50/B34)&lt;0,0,$R$50-2*SQRT($R$50/B34))</f>
        <v>0</v>
      </c>
      <c r="I81" s="5">
        <f>$R$50</f>
        <v>0.30158730158730157</v>
      </c>
      <c r="J81" s="5">
        <f>$R$50+2*SQRT($R$50/B34)</f>
        <v>0.85075694895257747</v>
      </c>
      <c r="K81" s="5">
        <f t="shared" si="4"/>
        <v>0.66678511708521015</v>
      </c>
      <c r="L81" s="5">
        <f t="shared" si="5"/>
        <v>0</v>
      </c>
      <c r="M81" s="5">
        <f t="shared" si="6"/>
        <v>0.48555913345466906</v>
      </c>
      <c r="N81" s="5">
        <f t="shared" si="7"/>
        <v>0.11761546971993411</v>
      </c>
      <c r="O81" s="116"/>
      <c r="P81" s="116"/>
      <c r="Q81" s="116"/>
      <c r="R81" s="116"/>
      <c r="S81" s="116"/>
      <c r="T81" s="116"/>
      <c r="U81" s="116"/>
      <c r="V81" s="47"/>
    </row>
    <row r="82" spans="6:22" x14ac:dyDescent="0.3">
      <c r="F82" s="120"/>
      <c r="G82" s="165">
        <f>C35/B35</f>
        <v>0.33333333333333331</v>
      </c>
      <c r="H82" s="5">
        <f>IF($R$50-2*SQRT($R$50/B35)&lt;0,0,$R$50-2*SQRT($R$50/B35))</f>
        <v>0</v>
      </c>
      <c r="I82" s="5">
        <f>$R$50</f>
        <v>0.30158730158730157</v>
      </c>
      <c r="J82" s="5">
        <f>$R$50+2*SQRT($R$50/B35)</f>
        <v>0.93571378906152947</v>
      </c>
      <c r="K82" s="5">
        <f t="shared" si="4"/>
        <v>0.72328141575766303</v>
      </c>
      <c r="L82" s="5">
        <f t="shared" si="5"/>
        <v>0</v>
      </c>
      <c r="M82" s="5">
        <f t="shared" si="6"/>
        <v>0.51401967489116784</v>
      </c>
      <c r="N82" s="5">
        <f t="shared" si="7"/>
        <v>8.9154928283435242E-2</v>
      </c>
      <c r="O82" s="116"/>
      <c r="P82" s="116"/>
      <c r="Q82" s="116"/>
      <c r="R82" s="116"/>
      <c r="S82" s="116"/>
      <c r="T82" s="116"/>
      <c r="U82" s="116"/>
      <c r="V82" s="47"/>
    </row>
    <row r="83" spans="6:22" x14ac:dyDescent="0.3">
      <c r="F83" s="120"/>
      <c r="G83" s="165">
        <f>C36/B36</f>
        <v>0.33333333333333331</v>
      </c>
      <c r="H83" s="5">
        <f>IF($R$50-2*SQRT($R$50/B36)&lt;0,0,$R$50-2*SQRT($R$50/B36))</f>
        <v>0</v>
      </c>
      <c r="I83" s="5">
        <f>$R$50</f>
        <v>0.30158730158730157</v>
      </c>
      <c r="J83" s="5">
        <f>$R$50+2*SQRT($R$50/B36)</f>
        <v>0.93571378906152947</v>
      </c>
      <c r="K83" s="5">
        <f t="shared" si="4"/>
        <v>0.72328141575766303</v>
      </c>
      <c r="L83" s="5">
        <f t="shared" si="5"/>
        <v>0</v>
      </c>
      <c r="M83" s="5">
        <f t="shared" si="6"/>
        <v>0.51401967489116784</v>
      </c>
      <c r="N83" s="5">
        <f t="shared" si="7"/>
        <v>8.9154928283435242E-2</v>
      </c>
      <c r="O83" s="116"/>
      <c r="P83" s="116"/>
      <c r="Q83" s="116"/>
      <c r="R83" s="116"/>
      <c r="S83" s="116"/>
      <c r="T83" s="116"/>
      <c r="U83" s="116"/>
      <c r="V83" s="47"/>
    </row>
    <row r="84" spans="6:22" x14ac:dyDescent="0.3">
      <c r="F84" s="120"/>
      <c r="G84" s="165">
        <f>C37/B37</f>
        <v>0.33333333333333331</v>
      </c>
      <c r="H84" s="5">
        <f>IF($R$50-2*SQRT($R$50/B37)&lt;0,0,$R$50-2*SQRT($R$50/B37))</f>
        <v>0</v>
      </c>
      <c r="I84" s="5">
        <f>$R$50</f>
        <v>0.30158730158730157</v>
      </c>
      <c r="J84" s="5">
        <f>$R$50+2*SQRT($R$50/B37)</f>
        <v>0.93571378906152947</v>
      </c>
      <c r="K84" s="5">
        <f t="shared" si="4"/>
        <v>0.72328141575766303</v>
      </c>
      <c r="L84" s="5">
        <f t="shared" si="5"/>
        <v>0</v>
      </c>
      <c r="M84" s="5">
        <f t="shared" si="6"/>
        <v>0.51401967489116784</v>
      </c>
      <c r="N84" s="5">
        <f t="shared" si="7"/>
        <v>8.9154928283435242E-2</v>
      </c>
      <c r="O84" s="116"/>
      <c r="P84" s="116"/>
      <c r="Q84" s="116"/>
      <c r="R84" s="116"/>
      <c r="S84" s="116"/>
      <c r="T84" s="116"/>
      <c r="U84" s="116"/>
      <c r="V84" s="47"/>
    </row>
    <row r="85" spans="6:22" x14ac:dyDescent="0.3">
      <c r="F85" s="120"/>
      <c r="G85" s="165">
        <f>C38/B38</f>
        <v>0.33333333333333331</v>
      </c>
      <c r="H85" s="5">
        <f>IF($R$50-2*SQRT($R$50/B38)&lt;0,0,$R$50-2*SQRT($R$50/B38))</f>
        <v>0</v>
      </c>
      <c r="I85" s="5">
        <f>$R$50</f>
        <v>0.30158730158730157</v>
      </c>
      <c r="J85" s="5">
        <f>$R$50+2*SQRT($R$50/B38)</f>
        <v>0.93571378906152947</v>
      </c>
      <c r="K85" s="5">
        <f t="shared" si="4"/>
        <v>0.72328141575766303</v>
      </c>
      <c r="L85" s="5">
        <f t="shared" si="5"/>
        <v>0</v>
      </c>
      <c r="M85" s="5">
        <f t="shared" si="6"/>
        <v>0.51401967489116784</v>
      </c>
      <c r="N85" s="5">
        <f t="shared" si="7"/>
        <v>8.9154928283435242E-2</v>
      </c>
      <c r="O85" s="116"/>
      <c r="P85" s="116"/>
      <c r="Q85" s="116"/>
      <c r="R85" s="116"/>
      <c r="S85" s="116"/>
      <c r="T85" s="116"/>
      <c r="U85" s="116"/>
      <c r="V85" s="47"/>
    </row>
    <row r="86" spans="6:22" x14ac:dyDescent="0.3">
      <c r="F86" s="120"/>
      <c r="G86" s="165">
        <f>C39/B39</f>
        <v>0.33333333333333331</v>
      </c>
      <c r="H86" s="5">
        <f>IF($R$50-2*SQRT($R$50/B39)&lt;0,0,$R$50-2*SQRT($R$50/B39))</f>
        <v>0</v>
      </c>
      <c r="I86" s="5">
        <f>$R$50</f>
        <v>0.30158730158730157</v>
      </c>
      <c r="J86" s="5">
        <f>$R$50+2*SQRT($R$50/B39)</f>
        <v>0.93571378906152947</v>
      </c>
      <c r="K86" s="5">
        <f t="shared" si="4"/>
        <v>0.72328141575766303</v>
      </c>
      <c r="L86" s="5">
        <f t="shared" si="5"/>
        <v>0</v>
      </c>
      <c r="M86" s="5">
        <f t="shared" si="6"/>
        <v>0.51401967489116784</v>
      </c>
      <c r="N86" s="5">
        <f t="shared" si="7"/>
        <v>8.9154928283435242E-2</v>
      </c>
      <c r="O86" s="116"/>
      <c r="P86" s="116"/>
      <c r="Q86" s="116"/>
      <c r="R86" s="116"/>
      <c r="S86" s="116"/>
      <c r="T86" s="116"/>
      <c r="U86" s="116"/>
      <c r="V86" s="47"/>
    </row>
    <row r="87" spans="6:22" x14ac:dyDescent="0.3">
      <c r="F87" s="120"/>
      <c r="G87" s="165">
        <f>C40/B40</f>
        <v>0.14285714285714285</v>
      </c>
      <c r="H87" s="5">
        <f>IF($R$50-2*SQRT($R$50/B40)&lt;0,0,$R$50-2*SQRT($R$50/B40))</f>
        <v>0</v>
      </c>
      <c r="I87" s="5">
        <f>$R$50</f>
        <v>0.30158730158730157</v>
      </c>
      <c r="J87" s="5">
        <f>$R$50+2*SQRT($R$50/B40)</f>
        <v>0.71672053430546101</v>
      </c>
      <c r="K87" s="5">
        <f t="shared" si="4"/>
        <v>0.57765090134487762</v>
      </c>
      <c r="L87" s="5">
        <f t="shared" si="5"/>
        <v>2.5523701829725576E-2</v>
      </c>
      <c r="M87" s="5">
        <f t="shared" si="6"/>
        <v>0.44065693454788496</v>
      </c>
      <c r="N87" s="5">
        <f t="shared" si="7"/>
        <v>0.16251766862671818</v>
      </c>
      <c r="O87" s="116"/>
      <c r="P87" s="116"/>
      <c r="Q87" s="116"/>
      <c r="R87" s="116"/>
      <c r="S87" s="116"/>
      <c r="T87" s="116"/>
      <c r="U87" s="116"/>
      <c r="V87" s="47"/>
    </row>
    <row r="88" spans="6:22" x14ac:dyDescent="0.3">
      <c r="F88" s="120"/>
      <c r="G88" s="165">
        <f>C41/B41</f>
        <v>0.33333333333333331</v>
      </c>
      <c r="H88" s="5">
        <f>IF($R$50-2*SQRT($R$50/B41)&lt;0,0,$R$50-2*SQRT($R$50/B41))</f>
        <v>0</v>
      </c>
      <c r="I88" s="5">
        <f>$R$50</f>
        <v>0.30158730158730157</v>
      </c>
      <c r="J88" s="5">
        <f>$R$50+2*SQRT($R$50/B41)</f>
        <v>0.93571378906152947</v>
      </c>
      <c r="K88" s="5">
        <f t="shared" si="4"/>
        <v>0.72328141575766303</v>
      </c>
      <c r="L88" s="5">
        <f t="shared" si="5"/>
        <v>0</v>
      </c>
      <c r="M88" s="5">
        <f t="shared" si="6"/>
        <v>0.51401967489116784</v>
      </c>
      <c r="N88" s="5">
        <f t="shared" si="7"/>
        <v>8.9154928283435242E-2</v>
      </c>
      <c r="O88" s="116"/>
      <c r="P88" s="116"/>
      <c r="Q88" s="116"/>
      <c r="R88" s="116"/>
      <c r="S88" s="116"/>
      <c r="T88" s="116"/>
      <c r="U88" s="116"/>
      <c r="V88" s="47"/>
    </row>
    <row r="89" spans="6:22" ht="15" thickBot="1" x14ac:dyDescent="0.35">
      <c r="F89" s="148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2"/>
    </row>
    <row r="145" spans="1:15" ht="15" thickBot="1" x14ac:dyDescent="0.35"/>
    <row r="146" spans="1:15" ht="21.6" thickBot="1" x14ac:dyDescent="0.35">
      <c r="B146" s="81" t="s">
        <v>41</v>
      </c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3"/>
    </row>
    <row r="147" spans="1:15" x14ac:dyDescent="0.3">
      <c r="A147" s="127" t="s">
        <v>56</v>
      </c>
      <c r="B147" s="21" t="s">
        <v>32</v>
      </c>
      <c r="C147" s="22" t="s">
        <v>24</v>
      </c>
      <c r="D147" s="19" t="s">
        <v>31</v>
      </c>
      <c r="E147" s="22" t="s">
        <v>25</v>
      </c>
      <c r="F147" s="44"/>
      <c r="G147" s="44"/>
      <c r="H147" s="44"/>
      <c r="I147" s="44"/>
      <c r="J147" s="44"/>
      <c r="K147" s="44"/>
      <c r="L147" s="44"/>
      <c r="M147" s="44"/>
      <c r="N147" s="44"/>
      <c r="O147" s="45"/>
    </row>
    <row r="148" spans="1:15" x14ac:dyDescent="0.3">
      <c r="A148" s="128"/>
      <c r="B148" s="46">
        <f>C2/B2</f>
        <v>0.5</v>
      </c>
      <c r="C148" s="3">
        <f>IF(D148-2*(SQRT((D148*(1-D148))/B2))&lt;0,0,D148-2*(SQRT((D148*(1-D148))/B2)))</f>
        <v>0</v>
      </c>
      <c r="D148" s="41">
        <f>$C$43</f>
        <v>0.30158730158730157</v>
      </c>
      <c r="E148" s="3">
        <f>D148+2*(SQRT(D148*(1-D148)/B2))</f>
        <v>0.95063645397653551</v>
      </c>
      <c r="O148" s="47"/>
    </row>
    <row r="149" spans="1:15" x14ac:dyDescent="0.3">
      <c r="A149" s="128"/>
      <c r="B149" s="46">
        <f>C3/B3</f>
        <v>0</v>
      </c>
      <c r="C149" s="3">
        <f>IF(D149-2*(SQRT((D149*(1-D149))/B3))&lt;0,0,D149-2*(SQRT((D149*(1-D149))/B3)))</f>
        <v>0</v>
      </c>
      <c r="D149" s="41">
        <f t="shared" ref="D149:D187" si="8">$C$43</f>
        <v>0.30158730158730157</v>
      </c>
      <c r="E149" s="3">
        <f>D149+2*(SQRT(D149*(1-D149)/B3))</f>
        <v>0.64851866664680768</v>
      </c>
      <c r="K149" s="17" t="s">
        <v>27</v>
      </c>
      <c r="L149" s="2" t="s">
        <v>48</v>
      </c>
      <c r="M149" s="84" t="s">
        <v>49</v>
      </c>
      <c r="N149" s="84"/>
      <c r="O149" s="85"/>
    </row>
    <row r="150" spans="1:15" x14ac:dyDescent="0.3">
      <c r="A150" s="128"/>
      <c r="B150" s="46">
        <f>C4/B4</f>
        <v>0.33333333333333331</v>
      </c>
      <c r="C150" s="3">
        <f>IF(D150-2*(SQRT((D150*(1-D150))/B4))&lt;0,0,D150-2*(SQRT((D150*(1-D150))/B4)))</f>
        <v>0</v>
      </c>
      <c r="D150" s="41">
        <f t="shared" si="8"/>
        <v>0.30158730158730157</v>
      </c>
      <c r="E150" s="3">
        <f>D150+2*(SQRT(D150*(1-D150)/B4))</f>
        <v>0.83153371536714982</v>
      </c>
      <c r="K150" s="17" t="s">
        <v>26</v>
      </c>
      <c r="L150" s="2">
        <f>C43</f>
        <v>0.30158730158730157</v>
      </c>
      <c r="M150" s="84"/>
      <c r="N150" s="84"/>
      <c r="O150" s="85"/>
    </row>
    <row r="151" spans="1:15" x14ac:dyDescent="0.3">
      <c r="A151" s="128"/>
      <c r="B151" s="46">
        <f>C5/B5</f>
        <v>0.33333333333333331</v>
      </c>
      <c r="C151" s="3">
        <f>IF(D151-2*(SQRT((D151*(1-D151))/B5))&lt;0,0,D151-2*(SQRT((D151*(1-D151))/B5)))</f>
        <v>0</v>
      </c>
      <c r="D151" s="41">
        <f t="shared" si="8"/>
        <v>0.30158730158730157</v>
      </c>
      <c r="E151" s="3">
        <f>D151+2*(SQRT(D151*(1-D151)/B5))</f>
        <v>0.83153371536714982</v>
      </c>
      <c r="K151"/>
      <c r="O151" s="47"/>
    </row>
    <row r="152" spans="1:15" x14ac:dyDescent="0.3">
      <c r="A152" s="128"/>
      <c r="B152" s="46">
        <f>C6/B6</f>
        <v>0.25</v>
      </c>
      <c r="C152" s="3">
        <f>IF(D152-2*(SQRT((D152*(1-D152))/B6))&lt;0,0,D152-2*(SQRT((D152*(1-D152))/B6)))</f>
        <v>0</v>
      </c>
      <c r="D152" s="41">
        <f t="shared" si="8"/>
        <v>0.30158730158730157</v>
      </c>
      <c r="E152" s="3">
        <f>D152+2*(SQRT(D152*(1-D152)/B6))</f>
        <v>0.76053435856510987</v>
      </c>
      <c r="K152" s="16" t="s">
        <v>28</v>
      </c>
      <c r="L152" s="2" t="s">
        <v>58</v>
      </c>
      <c r="O152" s="47"/>
    </row>
    <row r="153" spans="1:15" x14ac:dyDescent="0.3">
      <c r="A153" s="128"/>
      <c r="B153" s="46">
        <f>C7/B7</f>
        <v>0.25</v>
      </c>
      <c r="C153" s="3">
        <f>IF(D153-2*(SQRT((D153*(1-D153))/B7))&lt;0,0,D153-2*(SQRT((D153*(1-D153))/B7)))</f>
        <v>0</v>
      </c>
      <c r="D153" s="41">
        <f t="shared" si="8"/>
        <v>0.30158730158730157</v>
      </c>
      <c r="E153" s="3">
        <f>D153+2*(SQRT(D153*(1-D153)/B7))</f>
        <v>0.76053435856510987</v>
      </c>
      <c r="K153" s="16" t="s">
        <v>29</v>
      </c>
      <c r="L153" s="2">
        <f>L150</f>
        <v>0.30158730158730157</v>
      </c>
      <c r="O153" s="47"/>
    </row>
    <row r="154" spans="1:15" x14ac:dyDescent="0.3">
      <c r="A154" s="128"/>
      <c r="B154" s="46">
        <f>C8/B8</f>
        <v>1</v>
      </c>
      <c r="C154" s="3">
        <f>IF(D154-2*(SQRT((D154*(1-D154))/B8))&lt;0,0,D154-2*(SQRT((D154*(1-D154))/B8)))</f>
        <v>0</v>
      </c>
      <c r="D154" s="41">
        <f t="shared" si="8"/>
        <v>0.30158730158730157</v>
      </c>
      <c r="E154" s="3">
        <f>D154+2*(SQRT(D154*(1-D154)/B8))</f>
        <v>1.2194814155429181</v>
      </c>
      <c r="K154" s="17" t="s">
        <v>30</v>
      </c>
      <c r="L154" s="2" t="s">
        <v>58</v>
      </c>
      <c r="O154" s="47"/>
    </row>
    <row r="155" spans="1:15" x14ac:dyDescent="0.3">
      <c r="A155" s="128"/>
      <c r="B155" s="46">
        <f>C9/B9</f>
        <v>0.5</v>
      </c>
      <c r="C155" s="3">
        <f>IF(D155-2*(SQRT((D155*(1-D155))/B9))&lt;0,0,D155-2*(SQRT((D155*(1-D155))/B9)))</f>
        <v>0</v>
      </c>
      <c r="D155" s="41">
        <f t="shared" si="8"/>
        <v>0.30158730158730157</v>
      </c>
      <c r="E155" s="3">
        <f>D155+2*(SQRT(D155*(1-D155)/B9))</f>
        <v>0.95063645397653551</v>
      </c>
      <c r="O155" s="47"/>
    </row>
    <row r="156" spans="1:15" x14ac:dyDescent="0.3">
      <c r="A156" s="128"/>
      <c r="B156" s="46">
        <f>C10/B10</f>
        <v>0.33333333333333331</v>
      </c>
      <c r="C156" s="3">
        <f>IF(D156-2*(SQRT((D156*(1-D156))/B10))&lt;0,0,D156-2*(SQRT((D156*(1-D156))/B10)))</f>
        <v>0</v>
      </c>
      <c r="D156" s="41">
        <f t="shared" si="8"/>
        <v>0.30158730158730157</v>
      </c>
      <c r="E156" s="3">
        <f>D156+2*(SQRT(D156*(1-D156)/B10))</f>
        <v>0.83153371536714982</v>
      </c>
      <c r="O156" s="47"/>
    </row>
    <row r="157" spans="1:15" x14ac:dyDescent="0.3">
      <c r="A157" s="128"/>
      <c r="B157" s="46">
        <f>C11/B11</f>
        <v>1</v>
      </c>
      <c r="C157" s="3">
        <f>IF(D157-2*(SQRT((D157*(1-D157))/B11))&lt;0,0,D157-2*(SQRT((D157*(1-D157))/B11)))</f>
        <v>0</v>
      </c>
      <c r="D157" s="41">
        <f t="shared" si="8"/>
        <v>0.30158730158730157</v>
      </c>
      <c r="E157" s="3">
        <f>D157+2*(SQRT(D157*(1-D157)/B11))</f>
        <v>1.2194814155429181</v>
      </c>
      <c r="O157" s="47"/>
    </row>
    <row r="158" spans="1:15" x14ac:dyDescent="0.3">
      <c r="A158" s="128"/>
      <c r="B158" s="46">
        <f>C12/B12</f>
        <v>1</v>
      </c>
      <c r="C158" s="3">
        <f>IF(D158-2*(SQRT((D158*(1-D158))/B12))&lt;0,0,D158-2*(SQRT((D158*(1-D158))/B12)))</f>
        <v>0</v>
      </c>
      <c r="D158" s="41">
        <f t="shared" si="8"/>
        <v>0.30158730158730157</v>
      </c>
      <c r="E158" s="3">
        <f>D158+2*(SQRT(D158*(1-D158)/B12))</f>
        <v>1.2194814155429181</v>
      </c>
      <c r="O158" s="47"/>
    </row>
    <row r="159" spans="1:15" x14ac:dyDescent="0.3">
      <c r="A159" s="128"/>
      <c r="B159" s="46">
        <f>C13/B13</f>
        <v>0.5</v>
      </c>
      <c r="C159" s="3">
        <f>IF(D159-2*(SQRT((D159*(1-D159))/B13))&lt;0,0,D159-2*(SQRT((D159*(1-D159))/B13)))</f>
        <v>0</v>
      </c>
      <c r="D159" s="41">
        <f t="shared" si="8"/>
        <v>0.30158730158730157</v>
      </c>
      <c r="E159" s="3">
        <f>D159+2*(SQRT(D159*(1-D159)/B13))</f>
        <v>0.95063645397653551</v>
      </c>
      <c r="O159" s="47"/>
    </row>
    <row r="160" spans="1:15" x14ac:dyDescent="0.3">
      <c r="A160" s="128"/>
      <c r="B160" s="46">
        <f>C14/B14</f>
        <v>0.25</v>
      </c>
      <c r="C160" s="3">
        <f>IF(D160-2*(SQRT((D160*(1-D160))/B14))&lt;0,0,D160-2*(SQRT((D160*(1-D160))/B14)))</f>
        <v>0</v>
      </c>
      <c r="D160" s="41">
        <f t="shared" si="8"/>
        <v>0.30158730158730157</v>
      </c>
      <c r="E160" s="3">
        <f>D160+2*(SQRT(D160*(1-D160)/B14))</f>
        <v>0.76053435856510987</v>
      </c>
      <c r="O160" s="47"/>
    </row>
    <row r="161" spans="1:15" x14ac:dyDescent="0.3">
      <c r="A161" s="128"/>
      <c r="B161" s="46">
        <f>C15/B15</f>
        <v>0.5</v>
      </c>
      <c r="C161" s="3">
        <f>IF(D161-2*(SQRT((D161*(1-D161))/B15))&lt;0,0,D161-2*(SQRT((D161*(1-D161))/B15)))</f>
        <v>0</v>
      </c>
      <c r="D161" s="41">
        <f t="shared" si="8"/>
        <v>0.30158730158730157</v>
      </c>
      <c r="E161" s="3">
        <f>D161+2*(SQRT(D161*(1-D161)/B15))</f>
        <v>0.95063645397653551</v>
      </c>
      <c r="O161" s="47"/>
    </row>
    <row r="162" spans="1:15" x14ac:dyDescent="0.3">
      <c r="A162" s="128"/>
      <c r="B162" s="46">
        <f>C16/B16</f>
        <v>0.33333333333333331</v>
      </c>
      <c r="C162" s="3">
        <f>IF(D162-2*(SQRT((D162*(1-D162))/B16))&lt;0,0,D162-2*(SQRT((D162*(1-D162))/B16)))</f>
        <v>0</v>
      </c>
      <c r="D162" s="41">
        <f t="shared" si="8"/>
        <v>0.30158730158730157</v>
      </c>
      <c r="E162" s="3">
        <f>D162+2*(SQRT(D162*(1-D162)/B16))</f>
        <v>0.83153371536714982</v>
      </c>
      <c r="O162" s="47"/>
    </row>
    <row r="163" spans="1:15" x14ac:dyDescent="0.3">
      <c r="A163" s="128"/>
      <c r="B163" s="46">
        <f>C17/B17</f>
        <v>1</v>
      </c>
      <c r="C163" s="3">
        <f>IF(D163-2*(SQRT((D163*(1-D163))/B17))&lt;0,0,D163-2*(SQRT((D163*(1-D163))/B17)))</f>
        <v>0</v>
      </c>
      <c r="D163" s="41">
        <f t="shared" si="8"/>
        <v>0.30158730158730157</v>
      </c>
      <c r="E163" s="3">
        <f>D163+2*(SQRT(D163*(1-D163)/B17))</f>
        <v>1.2194814155429181</v>
      </c>
      <c r="O163" s="47"/>
    </row>
    <row r="164" spans="1:15" x14ac:dyDescent="0.3">
      <c r="A164" s="128"/>
      <c r="B164" s="46">
        <f>C18/B18</f>
        <v>1</v>
      </c>
      <c r="C164" s="3">
        <f>IF(D164-2*(SQRT((D164*(1-D164))/B18))&lt;0,0,D164-2*(SQRT((D164*(1-D164))/B18)))</f>
        <v>0</v>
      </c>
      <c r="D164" s="41">
        <f t="shared" si="8"/>
        <v>0.30158730158730157</v>
      </c>
      <c r="E164" s="3">
        <f>D164+2*(SQRT(D164*(1-D164)/B18))</f>
        <v>1.2194814155429181</v>
      </c>
      <c r="O164" s="47"/>
    </row>
    <row r="165" spans="1:15" x14ac:dyDescent="0.3">
      <c r="A165" s="128"/>
      <c r="B165" s="46">
        <f>C19/B19</f>
        <v>0.25</v>
      </c>
      <c r="C165" s="3">
        <f>IF(D165-2*(SQRT((D165*(1-D165))/B19))&lt;0,0,D165-2*(SQRT((D165*(1-D165))/B19)))</f>
        <v>0</v>
      </c>
      <c r="D165" s="41">
        <f t="shared" si="8"/>
        <v>0.30158730158730157</v>
      </c>
      <c r="E165" s="3">
        <f>D165+2*(SQRT(D165*(1-D165)/B19))</f>
        <v>0.76053435856510987</v>
      </c>
      <c r="O165" s="47"/>
    </row>
    <row r="166" spans="1:15" x14ac:dyDescent="0.3">
      <c r="A166" s="128"/>
      <c r="B166" s="46">
        <f>C20/B20</f>
        <v>0.5</v>
      </c>
      <c r="C166" s="3">
        <f>IF(D166-2*(SQRT((D166*(1-D166))/B20))&lt;0,0,D166-2*(SQRT((D166*(1-D166))/B20)))</f>
        <v>0</v>
      </c>
      <c r="D166" s="41">
        <f t="shared" si="8"/>
        <v>0.30158730158730157</v>
      </c>
      <c r="E166" s="3">
        <f>D166+2*(SQRT(D166*(1-D166)/B20))</f>
        <v>0.95063645397653551</v>
      </c>
      <c r="O166" s="47"/>
    </row>
    <row r="167" spans="1:15" x14ac:dyDescent="0.3">
      <c r="A167" s="128"/>
      <c r="B167" s="46">
        <f>C21/B21</f>
        <v>1</v>
      </c>
      <c r="C167" s="3">
        <f>IF(D167-2*(SQRT((D167*(1-D167))/B21))&lt;0,0,D167-2*(SQRT((D167*(1-D167))/B21)))</f>
        <v>0</v>
      </c>
      <c r="D167" s="41">
        <f t="shared" si="8"/>
        <v>0.30158730158730157</v>
      </c>
      <c r="E167" s="3">
        <f>D167+2*(SQRT(D167*(1-D167)/B21))</f>
        <v>1.2194814155429181</v>
      </c>
      <c r="O167" s="47"/>
    </row>
    <row r="168" spans="1:15" x14ac:dyDescent="0.3">
      <c r="A168" s="128"/>
      <c r="B168" s="46">
        <f>C22/B22</f>
        <v>0.5</v>
      </c>
      <c r="C168" s="3">
        <f>IF(D168-2*(SQRT((D168*(1-D168))/B22))&lt;0,0,D168-2*(SQRT((D168*(1-D168))/B22)))</f>
        <v>0</v>
      </c>
      <c r="D168" s="41">
        <f t="shared" si="8"/>
        <v>0.30158730158730157</v>
      </c>
      <c r="E168" s="3">
        <f>D168+2*(SQRT(D168*(1-D168)/B22))</f>
        <v>0.95063645397653551</v>
      </c>
      <c r="O168" s="47"/>
    </row>
    <row r="169" spans="1:15" x14ac:dyDescent="0.3">
      <c r="A169" s="128"/>
      <c r="B169" s="46">
        <f>C23/B23</f>
        <v>0.33333333333333331</v>
      </c>
      <c r="C169" s="3">
        <f>IF(D169-2*(SQRT((D169*(1-D169))/B23))&lt;0,0,D169-2*(SQRT((D169*(1-D169))/B23)))</f>
        <v>0</v>
      </c>
      <c r="D169" s="41">
        <f t="shared" si="8"/>
        <v>0.30158730158730157</v>
      </c>
      <c r="E169" s="3">
        <f>D169+2*(SQRT(D169*(1-D169)/B23))</f>
        <v>0.83153371536714982</v>
      </c>
      <c r="O169" s="47"/>
    </row>
    <row r="170" spans="1:15" x14ac:dyDescent="0.3">
      <c r="A170" s="128"/>
      <c r="B170" s="46">
        <f>C24/B24</f>
        <v>0.33333333333333331</v>
      </c>
      <c r="C170" s="3">
        <f>IF(D170-2*(SQRT((D170*(1-D170))/B24))&lt;0,0,D170-2*(SQRT((D170*(1-D170))/B24)))</f>
        <v>0</v>
      </c>
      <c r="D170" s="41">
        <f t="shared" si="8"/>
        <v>0.30158730158730157</v>
      </c>
      <c r="E170" s="3">
        <f>D170+2*(SQRT(D170*(1-D170)/B24))</f>
        <v>0.83153371536714982</v>
      </c>
      <c r="O170" s="47"/>
    </row>
    <row r="171" spans="1:15" x14ac:dyDescent="0.3">
      <c r="A171" s="128"/>
      <c r="B171" s="46">
        <f>C25/B25</f>
        <v>0.25</v>
      </c>
      <c r="C171" s="3">
        <f>IF(D171-2*(SQRT((D171*(1-D171))/B25))&lt;0,0,D171-2*(SQRT((D171*(1-D171))/B25)))</f>
        <v>0</v>
      </c>
      <c r="D171" s="41">
        <f t="shared" si="8"/>
        <v>0.30158730158730157</v>
      </c>
      <c r="E171" s="3">
        <f>D171+2*(SQRT(D171*(1-D171)/B25))</f>
        <v>0.76053435856510987</v>
      </c>
      <c r="O171" s="47"/>
    </row>
    <row r="172" spans="1:15" x14ac:dyDescent="0.3">
      <c r="A172" s="128"/>
      <c r="B172" s="46">
        <f>C26/B26</f>
        <v>0.33333333333333331</v>
      </c>
      <c r="C172" s="3">
        <f>IF(D172-2*(SQRT((D172*(1-D172))/B26))&lt;0,0,D172-2*(SQRT((D172*(1-D172))/B26)))</f>
        <v>0</v>
      </c>
      <c r="D172" s="41">
        <f t="shared" si="8"/>
        <v>0.30158730158730157</v>
      </c>
      <c r="E172" s="3">
        <f>D172+2*(SQRT(D172*(1-D172)/B26))</f>
        <v>0.83153371536714982</v>
      </c>
      <c r="O172" s="47"/>
    </row>
    <row r="173" spans="1:15" x14ac:dyDescent="0.3">
      <c r="A173" s="128"/>
      <c r="B173" s="46">
        <f>C27/B27</f>
        <v>0.33333333333333331</v>
      </c>
      <c r="C173" s="3">
        <f>IF(D173-2*(SQRT((D173*(1-D173))/B27))&lt;0,0,D173-2*(SQRT((D173*(1-D173))/B27)))</f>
        <v>0</v>
      </c>
      <c r="D173" s="41">
        <f t="shared" si="8"/>
        <v>0.30158730158730157</v>
      </c>
      <c r="E173" s="3">
        <f>D173+2*(SQRT(D173*(1-D173)/B27))</f>
        <v>0.83153371536714982</v>
      </c>
      <c r="O173" s="47"/>
    </row>
    <row r="174" spans="1:15" x14ac:dyDescent="0.3">
      <c r="A174" s="128"/>
      <c r="B174" s="46">
        <f>C28/B28</f>
        <v>0</v>
      </c>
      <c r="C174" s="3">
        <f>IF(D174-2*(SQRT((D174*(1-D174))/B28))&lt;0,0,D174-2*(SQRT((D174*(1-D174))/B28)))</f>
        <v>0</v>
      </c>
      <c r="D174" s="41">
        <f t="shared" si="8"/>
        <v>0.30158730158730157</v>
      </c>
      <c r="E174" s="3">
        <f>D174+2*(SQRT(D174*(1-D174)/B28))</f>
        <v>0.64851866664680768</v>
      </c>
      <c r="O174" s="47"/>
    </row>
    <row r="175" spans="1:15" x14ac:dyDescent="0.3">
      <c r="A175" s="128"/>
      <c r="B175" s="46">
        <f>C29/B29</f>
        <v>0.16666666666666666</v>
      </c>
      <c r="C175" s="3">
        <f>IF(D175-2*(SQRT((D175*(1-D175))/B29))&lt;0,0,D175-2*(SQRT((D175*(1-D175))/B29)))</f>
        <v>0</v>
      </c>
      <c r="D175" s="41">
        <f t="shared" si="8"/>
        <v>0.30158730158730157</v>
      </c>
      <c r="E175" s="3">
        <f>D175+2*(SQRT(D175*(1-D175)/B29))</f>
        <v>0.67631600443652429</v>
      </c>
      <c r="O175" s="47"/>
    </row>
    <row r="176" spans="1:15" x14ac:dyDescent="0.3">
      <c r="A176" s="128"/>
      <c r="B176" s="46">
        <f>C30/B30</f>
        <v>0.33333333333333331</v>
      </c>
      <c r="C176" s="3">
        <f>IF(D176-2*(SQRT((D176*(1-D176))/B30))&lt;0,0,D176-2*(SQRT((D176*(1-D176))/B30)))</f>
        <v>0</v>
      </c>
      <c r="D176" s="41">
        <f t="shared" si="8"/>
        <v>0.30158730158730157</v>
      </c>
      <c r="E176" s="3">
        <f>D176+2*(SQRT(D176*(1-D176)/B30))</f>
        <v>0.83153371536714982</v>
      </c>
      <c r="O176" s="47"/>
    </row>
    <row r="177" spans="1:15" x14ac:dyDescent="0.3">
      <c r="A177" s="128"/>
      <c r="B177" s="46">
        <f>C31/B31</f>
        <v>0.16666666666666666</v>
      </c>
      <c r="C177" s="3">
        <f>IF(D177-2*(SQRT((D177*(1-D177))/B31))&lt;0,0,D177-2*(SQRT((D177*(1-D177))/B31)))</f>
        <v>0</v>
      </c>
      <c r="D177" s="41">
        <f t="shared" si="8"/>
        <v>0.30158730158730157</v>
      </c>
      <c r="E177" s="3">
        <f>D177+2*(SQRT(D177*(1-D177)/B31))</f>
        <v>0.67631600443652429</v>
      </c>
      <c r="O177" s="47"/>
    </row>
    <row r="178" spans="1:15" x14ac:dyDescent="0.3">
      <c r="A178" s="128"/>
      <c r="B178" s="46">
        <f>C32/B32</f>
        <v>0.33333333333333331</v>
      </c>
      <c r="C178" s="3">
        <f>IF(D178-2*(SQRT((D178*(1-D178))/B32))&lt;0,0,D178-2*(SQRT((D178*(1-D178))/B32)))</f>
        <v>0</v>
      </c>
      <c r="D178" s="41">
        <f t="shared" si="8"/>
        <v>0.30158730158730157</v>
      </c>
      <c r="E178" s="3">
        <f>D178+2*(SQRT(D178*(1-D178)/B32))</f>
        <v>0.83153371536714982</v>
      </c>
      <c r="O178" s="47"/>
    </row>
    <row r="179" spans="1:15" x14ac:dyDescent="0.3">
      <c r="A179" s="128"/>
      <c r="B179" s="46">
        <f>C33/B33</f>
        <v>0.33333333333333331</v>
      </c>
      <c r="C179" s="3">
        <f>IF(D179-2*(SQRT((D179*(1-D179))/B33))&lt;0,0,D179-2*(SQRT((D179*(1-D179))/B33)))</f>
        <v>0</v>
      </c>
      <c r="D179" s="41">
        <f t="shared" si="8"/>
        <v>0.30158730158730157</v>
      </c>
      <c r="E179" s="3">
        <f>D179+2*(SQRT(D179*(1-D179)/B33))</f>
        <v>0.83153371536714982</v>
      </c>
      <c r="O179" s="47"/>
    </row>
    <row r="180" spans="1:15" x14ac:dyDescent="0.3">
      <c r="A180" s="128"/>
      <c r="B180" s="46">
        <f>C34/B34</f>
        <v>0.25</v>
      </c>
      <c r="C180" s="3">
        <f>IF(D180-2*(SQRT((D180*(1-D180))/B34))&lt;0,0,D180-2*(SQRT((D180*(1-D180))/B34)))</f>
        <v>0</v>
      </c>
      <c r="D180" s="41">
        <f t="shared" si="8"/>
        <v>0.30158730158730157</v>
      </c>
      <c r="E180" s="3">
        <f>D180+2*(SQRT(D180*(1-D180)/B34))</f>
        <v>0.76053435856510987</v>
      </c>
      <c r="O180" s="47"/>
    </row>
    <row r="181" spans="1:15" x14ac:dyDescent="0.3">
      <c r="A181" s="128"/>
      <c r="B181" s="46">
        <f>C35/B35</f>
        <v>0.33333333333333331</v>
      </c>
      <c r="C181" s="3">
        <f>IF(D181-2*(SQRT((D181*(1-D181))/B35))&lt;0,0,D181-2*(SQRT((D181*(1-D181))/B35)))</f>
        <v>0</v>
      </c>
      <c r="D181" s="41">
        <f t="shared" si="8"/>
        <v>0.30158730158730157</v>
      </c>
      <c r="E181" s="3">
        <f>D181+2*(SQRT(D181*(1-D181)/B35))</f>
        <v>0.83153371536714982</v>
      </c>
      <c r="O181" s="47"/>
    </row>
    <row r="182" spans="1:15" x14ac:dyDescent="0.3">
      <c r="A182" s="128"/>
      <c r="B182" s="46">
        <f>C36/B36</f>
        <v>0.33333333333333331</v>
      </c>
      <c r="C182" s="3">
        <f>IF(D182-2*(SQRT((D182*(1-D182))/B36))&lt;0,0,D182-2*(SQRT((D182*(1-D182))/B36)))</f>
        <v>0</v>
      </c>
      <c r="D182" s="41">
        <f t="shared" si="8"/>
        <v>0.30158730158730157</v>
      </c>
      <c r="E182" s="3">
        <f>D182+2*(SQRT(D182*(1-D182)/B36))</f>
        <v>0.83153371536714982</v>
      </c>
      <c r="O182" s="47"/>
    </row>
    <row r="183" spans="1:15" x14ac:dyDescent="0.3">
      <c r="A183" s="128"/>
      <c r="B183" s="46">
        <f>C37/B37</f>
        <v>0.33333333333333331</v>
      </c>
      <c r="C183" s="3">
        <f>IF(D183-2*(SQRT((D183*(1-D183))/B37))&lt;0,0,D183-2*(SQRT((D183*(1-D183))/B37)))</f>
        <v>0</v>
      </c>
      <c r="D183" s="41">
        <f t="shared" si="8"/>
        <v>0.30158730158730157</v>
      </c>
      <c r="E183" s="3">
        <f>D183+2*(SQRT(D183*(1-D183)/B37))</f>
        <v>0.83153371536714982</v>
      </c>
      <c r="O183" s="47"/>
    </row>
    <row r="184" spans="1:15" x14ac:dyDescent="0.3">
      <c r="A184" s="128"/>
      <c r="B184" s="46">
        <f>C38/B38</f>
        <v>0.33333333333333331</v>
      </c>
      <c r="C184" s="3">
        <f>IF(D184-2*(SQRT((D184*(1-D184))/B38))&lt;0,0,D184-2*(SQRT((D184*(1-D184))/B38)))</f>
        <v>0</v>
      </c>
      <c r="D184" s="41">
        <f t="shared" si="8"/>
        <v>0.30158730158730157</v>
      </c>
      <c r="E184" s="3">
        <f>D184+2*(SQRT(D184*(1-D184)/B38))</f>
        <v>0.83153371536714982</v>
      </c>
      <c r="O184" s="47"/>
    </row>
    <row r="185" spans="1:15" x14ac:dyDescent="0.3">
      <c r="A185" s="128"/>
      <c r="B185" s="46">
        <f>C39/B39</f>
        <v>0.33333333333333331</v>
      </c>
      <c r="C185" s="3">
        <f>IF(D185-2*(SQRT((D185*(1-D185))/B39))&lt;0,0,D185-2*(SQRT((D185*(1-D185))/B39)))</f>
        <v>0</v>
      </c>
      <c r="D185" s="41">
        <f t="shared" si="8"/>
        <v>0.30158730158730157</v>
      </c>
      <c r="E185" s="3">
        <f>D185+2*(SQRT(D185*(1-D185)/B39))</f>
        <v>0.83153371536714982</v>
      </c>
      <c r="O185" s="47"/>
    </row>
    <row r="186" spans="1:15" x14ac:dyDescent="0.3">
      <c r="A186" s="128"/>
      <c r="B186" s="46">
        <f>C40/B40</f>
        <v>0.14285714285714285</v>
      </c>
      <c r="C186" s="3">
        <f>IF(D186-2*(SQRT((D186*(1-D186))/B40))&lt;0,0,D186-2*(SQRT((D186*(1-D186))/B40)))</f>
        <v>0</v>
      </c>
      <c r="D186" s="41">
        <f t="shared" si="8"/>
        <v>0.30158730158730157</v>
      </c>
      <c r="E186" s="3">
        <f>D186+2*(SQRT(D186*(1-D186)/B40))</f>
        <v>0.64851866664680768</v>
      </c>
      <c r="O186" s="47"/>
    </row>
    <row r="187" spans="1:15" ht="15" thickBot="1" x14ac:dyDescent="0.35">
      <c r="A187" s="129"/>
      <c r="B187" s="48">
        <f>C41/B41</f>
        <v>0.33333333333333331</v>
      </c>
      <c r="C187" s="49">
        <f>IF(D187-2*(SQRT((D187*(1-D187))/B41))&lt;0,0,D187-2*(SQRT((D187*(1-D187))/B41)))</f>
        <v>0</v>
      </c>
      <c r="D187" s="50">
        <f t="shared" si="8"/>
        <v>0.30158730158730157</v>
      </c>
      <c r="E187" s="49">
        <f>D187+2*(SQRT(D187*(1-D187)/B41))</f>
        <v>0.83153371536714982</v>
      </c>
      <c r="F187" s="51"/>
      <c r="G187" s="51"/>
      <c r="H187" s="51"/>
      <c r="I187" s="51"/>
      <c r="J187" s="51"/>
      <c r="K187" s="51"/>
      <c r="L187" s="51"/>
      <c r="M187" s="51"/>
      <c r="N187" s="51"/>
      <c r="O187" s="52"/>
    </row>
  </sheetData>
  <sortState xmlns:xlrd2="http://schemas.microsoft.com/office/spreadsheetml/2017/richdata2" ref="W3:X9">
    <sortCondition descending="1" ref="X3:X9"/>
  </sortState>
  <mergeCells count="8">
    <mergeCell ref="B146:O146"/>
    <mergeCell ref="M149:O150"/>
    <mergeCell ref="A147:A187"/>
    <mergeCell ref="F2:F43"/>
    <mergeCell ref="G1:AF1"/>
    <mergeCell ref="G46:V47"/>
    <mergeCell ref="S49:V49"/>
    <mergeCell ref="F48:F8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 1 Data Collection</vt:lpstr>
      <vt:lpstr>Process 1 Data Analysis </vt:lpstr>
      <vt:lpstr>Process 2 Data Collection</vt:lpstr>
      <vt:lpstr>Process 2 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Kaylee Meyer</dc:creator>
  <cp:lastModifiedBy>KC MEYER</cp:lastModifiedBy>
  <dcterms:created xsi:type="dcterms:W3CDTF">2025-05-28T13:46:07Z</dcterms:created>
  <dcterms:modified xsi:type="dcterms:W3CDTF">2025-06-03T15:09:16Z</dcterms:modified>
</cp:coreProperties>
</file>